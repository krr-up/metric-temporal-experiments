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<sst xmlns="http://schemas.openxmlformats.org/spreadsheetml/2006/main" count="211" uniqueCount="34">
  <si>
    <t>instances/size-1</t>
  </si>
  <si>
    <t>instances/size-10</t>
  </si>
  <si>
    <t>instances/size-2</t>
  </si>
  <si>
    <t>instances/size-3</t>
  </si>
  <si>
    <t>instances/size-4</t>
  </si>
  <si>
    <t>instances/size-5</t>
  </si>
  <si>
    <t>instances/size-6</t>
  </si>
  <si>
    <t>instances/size-7</t>
  </si>
  <si>
    <t>instances/size-8</t>
  </si>
  <si>
    <t>instances/size-9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</si>
  <si>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</si>
  <si>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</si>
  <si>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</si>
  <si>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</si>
  <si>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</si>
  <si>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</si>
  <si>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</si>
  <si>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</si>
  <si>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memelingo-1/goal_mlp-tplp-ht</t>
  </si>
  <si>
    <t>time</t>
  </si>
  <si>
    <t>stime</t>
  </si>
  <si>
    <t>status</t>
  </si>
  <si>
    <t>SATISFIABLE</t>
  </si>
  <si>
    <t>rules</t>
  </si>
  <si>
    <t>ctime</t>
  </si>
  <si>
    <t>fmtime</t>
  </si>
  <si>
    <t>memout</t>
  </si>
  <si>
    <t>memelingo-1/goal_mlp-tplp-htc</t>
  </si>
  <si>
    <t>memelingo-1/goal_mlp-tplp-htcdl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</si>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</sst>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40" width="11.42578125" customWidth="1"/>
  </cols>
  <sheetData>
    <row r="1" spans="1:40">
      <c r="A1" s="1"/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 t="s">
        <v>30</v>
      </c>
      <c r="AD1" s="1"/>
      <c r="AE1" s="1"/>
      <c r="AF1" s="1"/>
      <c r="AG1" s="1"/>
      <c r="AH1" s="1"/>
      <c r="AI1" s="1" t="s">
        <v>31</v>
      </c>
      <c r="AJ1" s="1"/>
      <c r="AK1" s="1"/>
      <c r="AL1" s="1"/>
      <c r="AM1" s="1"/>
      <c r="AN1" s="1"/>
    </row>
    <row r="2" spans="1:40">
      <c r="A2" s="1"/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19</v>
      </c>
      <c r="AD2" s="1" t="s">
        <v>20</v>
      </c>
      <c r="AE2" s="1" t="s">
        <v>23</v>
      </c>
      <c r="AF2" s="1" t="s">
        <v>24</v>
      </c>
      <c r="AG2" s="1" t="s">
        <v>25</v>
      </c>
      <c r="AH2" s="1" t="s">
        <v>26</v>
      </c>
      <c r="AI2" s="1" t="s">
        <v>19</v>
      </c>
      <c r="AJ2" s="1" t="s">
        <v>20</v>
      </c>
      <c r="AK2" s="1" t="s">
        <v>23</v>
      </c>
      <c r="AL2" s="1" t="s">
        <v>24</v>
      </c>
      <c r="AM2" s="1" t="s">
        <v>25</v>
      </c>
      <c r="AN2" s="1" t="s">
        <v>26</v>
      </c>
    </row>
    <row r="3" spans="1:40">
      <c r="A3" s="1" t="s">
        <v>0</v>
      </c>
      <c r="B3" s="1">
        <v>1.62</v>
      </c>
      <c r="C3" s="1">
        <v>0.1</v>
      </c>
      <c r="D3" s="1" t="s">
        <v>22</v>
      </c>
      <c r="E3" s="1">
        <v>376977</v>
      </c>
      <c r="F3" s="1">
        <v>0.755</v>
      </c>
      <c r="G3" s="1">
        <v>0.02</v>
      </c>
      <c r="H3" s="1">
        <v>0</v>
      </c>
      <c r="I3" s="1">
        <v>0.97</v>
      </c>
      <c r="J3" s="1">
        <v>0</v>
      </c>
      <c r="K3" s="1" t="s">
        <v>22</v>
      </c>
      <c r="L3" s="1">
        <v>2407</v>
      </c>
      <c r="M3" s="1">
        <v>0.104</v>
      </c>
      <c r="N3" s="1">
        <v>0</v>
      </c>
      <c r="O3" s="1">
        <v>0</v>
      </c>
      <c r="P3" s="1">
        <v>1.01</v>
      </c>
      <c r="Q3" s="1">
        <v>0</v>
      </c>
      <c r="R3" s="1" t="s">
        <v>22</v>
      </c>
      <c r="S3" s="1">
        <v>2407</v>
      </c>
      <c r="T3" s="1">
        <v>0.095</v>
      </c>
      <c r="U3" s="1">
        <v>0</v>
      </c>
      <c r="V3" s="1"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>
        <v>1200</v>
      </c>
      <c r="C4" s="1"/>
      <c r="D4" s="1"/>
      <c r="E4" s="1"/>
      <c r="F4" s="1"/>
      <c r="G4" s="1"/>
      <c r="H4" s="1">
        <v>0</v>
      </c>
      <c r="I4" s="1">
        <v>1.03</v>
      </c>
      <c r="J4" s="1">
        <v>0.01</v>
      </c>
      <c r="K4" s="1" t="s">
        <v>22</v>
      </c>
      <c r="L4" s="1">
        <v>2407</v>
      </c>
      <c r="M4" s="1">
        <v>0.114</v>
      </c>
      <c r="N4" s="1">
        <v>0</v>
      </c>
      <c r="O4" s="1">
        <v>0</v>
      </c>
      <c r="P4" s="1">
        <v>1.02</v>
      </c>
      <c r="Q4" s="1">
        <v>0</v>
      </c>
      <c r="R4" s="1" t="s">
        <v>22</v>
      </c>
      <c r="S4" s="1">
        <v>2407</v>
      </c>
      <c r="T4" s="1">
        <v>0.104</v>
      </c>
      <c r="U4" s="1">
        <v>0</v>
      </c>
      <c r="V4" s="1"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>
        <v>13.43</v>
      </c>
      <c r="C5" s="1">
        <v>9.369999999999999</v>
      </c>
      <c r="D5" s="1" t="s">
        <v>22</v>
      </c>
      <c r="E5" s="1">
        <v>1516817</v>
      </c>
      <c r="F5" s="1">
        <v>12.53</v>
      </c>
      <c r="G5" s="1">
        <v>0.26</v>
      </c>
      <c r="H5" s="1">
        <v>0</v>
      </c>
      <c r="I5" s="1">
        <v>1.01</v>
      </c>
      <c r="J5" s="1">
        <v>0</v>
      </c>
      <c r="K5" s="1" t="s">
        <v>22</v>
      </c>
      <c r="L5" s="1">
        <v>2407</v>
      </c>
      <c r="M5" s="1">
        <v>0.111</v>
      </c>
      <c r="N5" s="1">
        <v>0</v>
      </c>
      <c r="O5" s="1">
        <v>0</v>
      </c>
      <c r="P5" s="1">
        <v>1.04</v>
      </c>
      <c r="Q5" s="1">
        <v>0</v>
      </c>
      <c r="R5" s="1" t="s">
        <v>22</v>
      </c>
      <c r="S5" s="1">
        <v>2407</v>
      </c>
      <c r="T5" s="1">
        <v>0.091</v>
      </c>
      <c r="U5" s="1">
        <v>0</v>
      </c>
      <c r="V5" s="1"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>
        <v>39.91</v>
      </c>
      <c r="C6" s="1">
        <v>30.87</v>
      </c>
      <c r="D6" s="1" t="s">
        <v>22</v>
      </c>
      <c r="E6" s="1">
        <v>3421857</v>
      </c>
      <c r="F6" s="1">
        <v>38.964</v>
      </c>
      <c r="G6" s="1">
        <v>0.79</v>
      </c>
      <c r="H6" s="1">
        <v>0</v>
      </c>
      <c r="I6" s="1">
        <v>0.9</v>
      </c>
      <c r="J6" s="1">
        <v>0</v>
      </c>
      <c r="K6" s="1" t="s">
        <v>22</v>
      </c>
      <c r="L6" s="1">
        <v>2407</v>
      </c>
      <c r="M6" s="1">
        <v>0.106</v>
      </c>
      <c r="N6" s="1">
        <v>0</v>
      </c>
      <c r="O6" s="1">
        <v>0</v>
      </c>
      <c r="P6" s="1">
        <v>0.98</v>
      </c>
      <c r="Q6" s="1">
        <v>0</v>
      </c>
      <c r="R6" s="1" t="s">
        <v>22</v>
      </c>
      <c r="S6" s="1">
        <v>2407</v>
      </c>
      <c r="T6" s="1">
        <v>0.091</v>
      </c>
      <c r="U6" s="1">
        <v>0</v>
      </c>
      <c r="V6" s="1"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>
        <v>42.24</v>
      </c>
      <c r="C7" s="1">
        <v>25.35</v>
      </c>
      <c r="D7" s="1" t="s">
        <v>22</v>
      </c>
      <c r="E7" s="1">
        <v>6092097</v>
      </c>
      <c r="F7" s="1">
        <v>41.066</v>
      </c>
      <c r="G7" s="1">
        <v>1.9</v>
      </c>
      <c r="H7" s="1">
        <v>0</v>
      </c>
      <c r="I7" s="1">
        <v>0.98</v>
      </c>
      <c r="J7" s="1">
        <v>0</v>
      </c>
      <c r="K7" s="1" t="s">
        <v>22</v>
      </c>
      <c r="L7" s="1">
        <v>2407</v>
      </c>
      <c r="M7" s="1">
        <v>0.102</v>
      </c>
      <c r="N7" s="1">
        <v>0</v>
      </c>
      <c r="O7" s="1">
        <v>0</v>
      </c>
      <c r="P7" s="1">
        <v>0.99</v>
      </c>
      <c r="Q7" s="1">
        <v>0</v>
      </c>
      <c r="R7" s="1" t="s">
        <v>22</v>
      </c>
      <c r="S7" s="1">
        <v>2407</v>
      </c>
      <c r="T7" s="1">
        <v>0.092</v>
      </c>
      <c r="U7" s="1">
        <v>0</v>
      </c>
      <c r="V7" s="1"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>
        <v>37.35</v>
      </c>
      <c r="C8" s="1">
        <v>5.26</v>
      </c>
      <c r="D8" s="1" t="s">
        <v>22</v>
      </c>
      <c r="E8" s="1">
        <v>9527537</v>
      </c>
      <c r="F8" s="1">
        <v>36.175</v>
      </c>
      <c r="G8" s="1">
        <v>3.03</v>
      </c>
      <c r="H8" s="1">
        <v>0</v>
      </c>
      <c r="I8" s="1">
        <v>0.97</v>
      </c>
      <c r="J8" s="1">
        <v>0.01</v>
      </c>
      <c r="K8" s="1" t="s">
        <v>22</v>
      </c>
      <c r="L8" s="1">
        <v>2407</v>
      </c>
      <c r="M8" s="1">
        <v>0.096</v>
      </c>
      <c r="N8" s="1">
        <v>0</v>
      </c>
      <c r="O8" s="1">
        <v>0</v>
      </c>
      <c r="P8" s="1">
        <v>0.96</v>
      </c>
      <c r="Q8" s="1">
        <v>0</v>
      </c>
      <c r="R8" s="1" t="s">
        <v>22</v>
      </c>
      <c r="S8" s="1">
        <v>2407</v>
      </c>
      <c r="T8" s="1">
        <v>0.098</v>
      </c>
      <c r="U8" s="1">
        <v>0</v>
      </c>
      <c r="V8" s="1"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>
        <v>96.8</v>
      </c>
      <c r="C9" s="1">
        <v>43.07</v>
      </c>
      <c r="D9" s="1" t="s">
        <v>22</v>
      </c>
      <c r="E9" s="1">
        <v>13728177</v>
      </c>
      <c r="F9" s="1">
        <v>95.458</v>
      </c>
      <c r="G9" s="1">
        <v>6.77</v>
      </c>
      <c r="H9" s="1">
        <v>0</v>
      </c>
      <c r="I9" s="1">
        <v>1.03</v>
      </c>
      <c r="J9" s="1">
        <v>0.01</v>
      </c>
      <c r="K9" s="1" t="s">
        <v>22</v>
      </c>
      <c r="L9" s="1">
        <v>2407</v>
      </c>
      <c r="M9" s="1">
        <v>0.11</v>
      </c>
      <c r="N9" s="1">
        <v>0</v>
      </c>
      <c r="O9" s="1">
        <v>0</v>
      </c>
      <c r="P9" s="1">
        <v>0.99</v>
      </c>
      <c r="Q9" s="1">
        <v>0</v>
      </c>
      <c r="R9" s="1" t="s">
        <v>22</v>
      </c>
      <c r="S9" s="1">
        <v>2407</v>
      </c>
      <c r="T9" s="1">
        <v>0.101</v>
      </c>
      <c r="U9" s="1">
        <v>0</v>
      </c>
      <c r="V9" s="1"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>
        <v>97.04000000000001</v>
      </c>
      <c r="C10" s="1">
        <v>17.82</v>
      </c>
      <c r="D10" s="1" t="s">
        <v>22</v>
      </c>
      <c r="E10" s="1">
        <v>18694017</v>
      </c>
      <c r="F10" s="1">
        <v>95.495</v>
      </c>
      <c r="G10" s="1">
        <v>17.32</v>
      </c>
      <c r="H10" s="1">
        <v>0</v>
      </c>
      <c r="I10" s="1">
        <v>0.98</v>
      </c>
      <c r="J10" s="1">
        <v>0.01</v>
      </c>
      <c r="K10" s="1" t="s">
        <v>22</v>
      </c>
      <c r="L10" s="1">
        <v>2407</v>
      </c>
      <c r="M10" s="1">
        <v>0.116</v>
      </c>
      <c r="N10" s="1">
        <v>0</v>
      </c>
      <c r="O10" s="1">
        <v>0</v>
      </c>
      <c r="P10" s="1">
        <v>1</v>
      </c>
      <c r="Q10" s="1">
        <v>0</v>
      </c>
      <c r="R10" s="1" t="s">
        <v>22</v>
      </c>
      <c r="S10" s="1">
        <v>2407</v>
      </c>
      <c r="T10" s="1">
        <v>0.1</v>
      </c>
      <c r="U10" s="1">
        <v>0</v>
      </c>
      <c r="V10" s="1"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>
        <v>294.66</v>
      </c>
      <c r="C11" s="1">
        <v>165.22</v>
      </c>
      <c r="D11" s="1" t="s">
        <v>22</v>
      </c>
      <c r="E11" s="1">
        <v>24425057</v>
      </c>
      <c r="F11" s="1">
        <v>292.427</v>
      </c>
      <c r="G11" s="1">
        <v>18.1</v>
      </c>
      <c r="H11" s="1">
        <v>0</v>
      </c>
      <c r="I11" s="1">
        <v>1.03</v>
      </c>
      <c r="J11" s="1">
        <v>0.01</v>
      </c>
      <c r="K11" s="1" t="s">
        <v>22</v>
      </c>
      <c r="L11" s="1">
        <v>2407</v>
      </c>
      <c r="M11" s="1">
        <v>0.124</v>
      </c>
      <c r="N11" s="1">
        <v>0</v>
      </c>
      <c r="O11" s="1">
        <v>0</v>
      </c>
      <c r="P11" s="1">
        <v>1.01</v>
      </c>
      <c r="Q11" s="1">
        <v>0</v>
      </c>
      <c r="R11" s="1" t="s">
        <v>22</v>
      </c>
      <c r="S11" s="1">
        <v>2407</v>
      </c>
      <c r="T11" s="1">
        <v>0.095</v>
      </c>
      <c r="U11" s="1">
        <v>0</v>
      </c>
      <c r="V11" s="1"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>
        <v>349.51</v>
      </c>
      <c r="C12" s="1">
        <v>187.98</v>
      </c>
      <c r="D12" s="1" t="s">
        <v>22</v>
      </c>
      <c r="E12" s="1">
        <v>30921297</v>
      </c>
      <c r="F12" s="1">
        <v>347.342</v>
      </c>
      <c r="G12" s="1">
        <v>33.92</v>
      </c>
      <c r="H12" s="1">
        <v>0</v>
      </c>
      <c r="I12" s="1">
        <v>1.02</v>
      </c>
      <c r="J12" s="1">
        <v>0.01</v>
      </c>
      <c r="K12" s="1" t="s">
        <v>22</v>
      </c>
      <c r="L12" s="1">
        <v>2407</v>
      </c>
      <c r="M12" s="1">
        <v>0.119</v>
      </c>
      <c r="N12" s="1">
        <v>0</v>
      </c>
      <c r="O12" s="1">
        <v>0</v>
      </c>
      <c r="P12" s="1">
        <v>1.01</v>
      </c>
      <c r="Q12" s="1">
        <v>0</v>
      </c>
      <c r="R12" s="1" t="s">
        <v>22</v>
      </c>
      <c r="S12" s="1">
        <v>2407</v>
      </c>
      <c r="T12" s="1">
        <v>0.097</v>
      </c>
      <c r="U12" s="1">
        <v>0</v>
      </c>
      <c r="V12" s="1"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</row>
    <row r="15" spans="1:40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</row>
    <row r="16" spans="1:40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</row>
    <row r="17" spans="1:40">
      <c r="A17" s="1" t="s">
        <v>13</v>
      </c>
      <c r="B17" s="1">
        <f>SUMPRODUCT(--(B$3:B$12-$W$3:$W$12)^2)^0.5</f>
        <v>0</v>
      </c>
      <c r="C17" s="1">
        <f>SUMPRODUCT(--(C$3:C$12-$X$3:$X$12)^2)^0.5</f>
        <v>0</v>
      </c>
      <c r="D17" s="1"/>
      <c r="E17" s="1">
        <f>SUMPRODUCT(--(E$3:E$12-$Y$3:$Y$12)^2)^0.5</f>
        <v>0</v>
      </c>
      <c r="F17" s="1">
        <f>SUMPRODUCT(--(F$3:F$12-$Z$3:$Z$12)^2)^0.5</f>
        <v>0</v>
      </c>
      <c r="G17" s="1">
        <f>SUMPRODUCT(--(G$3:G$12-$AA$3:$AA$12)^2)^0.5</f>
        <v>0</v>
      </c>
      <c r="H17" s="1">
        <f>SUMPRODUCT(--(H$3:H$12-$AB$3:$AB$12)^2)^0.5</f>
        <v>0</v>
      </c>
      <c r="I17" s="1">
        <f>SUMPRODUCT(--(I$3:I$12-$W$3:$W$12)^2)^0.5</f>
        <v>0</v>
      </c>
      <c r="J17" s="1">
        <f>SUMPRODUCT(--(J$3:J$12-$X$3:$X$12)^2)^0.5</f>
        <v>0</v>
      </c>
      <c r="K17" s="1"/>
      <c r="L17" s="1">
        <f>SUMPRODUCT(--(L$3:L$12-$Y$3:$Y$12)^2)^0.5</f>
        <v>0</v>
      </c>
      <c r="M17" s="1">
        <f>SUMPRODUCT(--(M$3:M$12-$Z$3:$Z$12)^2)^0.5</f>
        <v>0</v>
      </c>
      <c r="N17" s="1">
        <f>SUMPRODUCT(--(N$3:N$12-$AA$3:$AA$12)^2)^0.5</f>
        <v>0</v>
      </c>
      <c r="O17" s="1">
        <f>SUMPRODUCT(--(O$3:O$12-$AB$3:$AB$12)^2)^0.5</f>
        <v>0</v>
      </c>
      <c r="P17" s="1">
        <f>SUMPRODUCT(--(P$3:P$12-$W$3:$W$12)^2)^0.5</f>
        <v>0</v>
      </c>
      <c r="Q17" s="1">
        <f>SUMPRODUCT(--(Q$3:Q$12-$X$3:$X$12)^2)^0.5</f>
        <v>0</v>
      </c>
      <c r="R17" s="1"/>
      <c r="S17" s="1">
        <f>SUMPRODUCT(--(S$3:S$12-$Y$3:$Y$12)^2)^0.5</f>
        <v>0</v>
      </c>
      <c r="T17" s="1">
        <f>SUMPRODUCT(--(T$3:T$12-$Z$3:$Z$12)^2)^0.5</f>
        <v>0</v>
      </c>
      <c r="U17" s="1">
        <f>SUMPRODUCT(--(U$3:U$12-$AA$3:$AA$12)^2)^0.5</f>
        <v>0</v>
      </c>
      <c r="V17" s="1">
        <f>SUMPRODUCT(--(V$3:V$12-$AB$3:$AB$12)^2)^0.5</f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 t="s">
        <v>14</v>
      </c>
      <c r="B18" s="1">
        <f>SUMPRODUCT(NOT(ISBLANK(B$3:B$12))*(B$3:B$12=$W$3:$W$12))</f>
        <v>0</v>
      </c>
      <c r="C18" s="1">
        <f>SUMPRODUCT(NOT(ISBLANK(C$3:C$12))*(C$3:C$12=$X$3:$X$12))</f>
        <v>0</v>
      </c>
      <c r="D18" s="1"/>
      <c r="E18" s="1">
        <f>SUMPRODUCT(NOT(ISBLANK(E$3:E$12))*(E$3:E$12=$Y$3:$Y$12))</f>
        <v>0</v>
      </c>
      <c r="F18" s="1">
        <f>SUMPRODUCT(NOT(ISBLANK(F$3:F$12))*(F$3:F$12=$Z$3:$Z$12))</f>
        <v>0</v>
      </c>
      <c r="G18" s="1">
        <f>SUMPRODUCT(NOT(ISBLANK(G$3:G$12))*(G$3:G$12=$AA$3:$AA$12))</f>
        <v>0</v>
      </c>
      <c r="H18" s="1">
        <f>SUMPRODUCT(NOT(ISBLANK(H$3:H$12))*(H$3:H$12=$AB$3:$AB$12))</f>
        <v>0</v>
      </c>
      <c r="I18" s="1">
        <f>SUMPRODUCT(NOT(ISBLANK(I$3:I$12))*(I$3:I$12=$W$3:$W$12))</f>
        <v>0</v>
      </c>
      <c r="J18" s="1">
        <f>SUMPRODUCT(NOT(ISBLANK(J$3:J$12))*(J$3:J$12=$X$3:$X$12))</f>
        <v>0</v>
      </c>
      <c r="K18" s="1"/>
      <c r="L18" s="1">
        <f>SUMPRODUCT(NOT(ISBLANK(L$3:L$12))*(L$3:L$12=$Y$3:$Y$12))</f>
        <v>0</v>
      </c>
      <c r="M18" s="1">
        <f>SUMPRODUCT(NOT(ISBLANK(M$3:M$12))*(M$3:M$12=$Z$3:$Z$12))</f>
        <v>0</v>
      </c>
      <c r="N18" s="1">
        <f>SUMPRODUCT(NOT(ISBLANK(N$3:N$12))*(N$3:N$12=$AA$3:$AA$12))</f>
        <v>0</v>
      </c>
      <c r="O18" s="1">
        <f>SUMPRODUCT(NOT(ISBLANK(O$3:O$12))*(O$3:O$12=$AB$3:$AB$12))</f>
        <v>0</v>
      </c>
      <c r="P18" s="1">
        <f>SUMPRODUCT(NOT(ISBLANK(P$3:P$12))*(P$3:P$12=$W$3:$W$12))</f>
        <v>0</v>
      </c>
      <c r="Q18" s="1">
        <f>SUMPRODUCT(NOT(ISBLANK(Q$3:Q$12))*(Q$3:Q$12=$X$3:$X$12))</f>
        <v>0</v>
      </c>
      <c r="R18" s="1"/>
      <c r="S18" s="1">
        <f>SUMPRODUCT(NOT(ISBLANK(S$3:S$12))*(S$3:S$12=$Y$3:$Y$12))</f>
        <v>0</v>
      </c>
      <c r="T18" s="1">
        <f>SUMPRODUCT(NOT(ISBLANK(T$3:T$12))*(T$3:T$12=$Z$3:$Z$12))</f>
        <v>0</v>
      </c>
      <c r="U18" s="1">
        <f>SUMPRODUCT(NOT(ISBLANK(U$3:U$12))*(U$3:U$12=$AA$3:$AA$12))</f>
        <v>0</v>
      </c>
      <c r="V18" s="1">
        <f>SUMPRODUCT(NOT(ISBLANK(V$3:V$12))*(V$3:V$12=$AB$3:$AB$12))</f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 t="s">
        <v>15</v>
      </c>
      <c r="B19" s="1">
        <f>SUMPRODUCT(NOT(ISBLANK(B$3:B$12))*(B$3:B$12&lt;$AC$3:$AC$12))</f>
        <v>0</v>
      </c>
      <c r="C19" s="1">
        <f>SUMPRODUCT(NOT(ISBLANK(C$3:C$12))*(C$3:C$12&lt;$AD$3:$AD$12))</f>
        <v>0</v>
      </c>
      <c r="D19" s="1"/>
      <c r="E19" s="1">
        <f>SUMPRODUCT(NOT(ISBLANK(E$3:E$12))*(E$3:E$12&lt;$AE$3:$AE$12))</f>
        <v>0</v>
      </c>
      <c r="F19" s="1">
        <f>SUMPRODUCT(NOT(ISBLANK(F$3:F$12))*(F$3:F$12&lt;$AF$3:$AF$12))</f>
        <v>0</v>
      </c>
      <c r="G19" s="1">
        <f>SUMPRODUCT(NOT(ISBLANK(G$3:G$12))*(G$3:G$12&lt;$AG$3:$AG$12))</f>
        <v>0</v>
      </c>
      <c r="H19" s="1">
        <f>SUMPRODUCT(NOT(ISBLANK(H$3:H$12))*(H$3:H$12&lt;$AH$3:$AH$12))</f>
        <v>0</v>
      </c>
      <c r="I19" s="1">
        <f>SUMPRODUCT(NOT(ISBLANK(I$3:I$12))*(I$3:I$12&lt;$AC$3:$AC$12))</f>
        <v>0</v>
      </c>
      <c r="J19" s="1">
        <f>SUMPRODUCT(NOT(ISBLANK(J$3:J$12))*(J$3:J$12&lt;$AD$3:$AD$12))</f>
        <v>0</v>
      </c>
      <c r="K19" s="1"/>
      <c r="L19" s="1">
        <f>SUMPRODUCT(NOT(ISBLANK(L$3:L$12))*(L$3:L$12&lt;$AE$3:$AE$12))</f>
        <v>0</v>
      </c>
      <c r="M19" s="1">
        <f>SUMPRODUCT(NOT(ISBLANK(M$3:M$12))*(M$3:M$12&lt;$AF$3:$AF$12))</f>
        <v>0</v>
      </c>
      <c r="N19" s="1">
        <f>SUMPRODUCT(NOT(ISBLANK(N$3:N$12))*(N$3:N$12&lt;$AG$3:$AG$12))</f>
        <v>0</v>
      </c>
      <c r="O19" s="1">
        <f>SUMPRODUCT(NOT(ISBLANK(O$3:O$12))*(O$3:O$12&lt;$AH$3:$AH$12))</f>
        <v>0</v>
      </c>
      <c r="P19" s="1">
        <f>SUMPRODUCT(NOT(ISBLANK(P$3:P$12))*(P$3:P$12&lt;$AC$3:$AC$12))</f>
        <v>0</v>
      </c>
      <c r="Q19" s="1">
        <f>SUMPRODUCT(NOT(ISBLANK(Q$3:Q$12))*(Q$3:Q$12&lt;$AD$3:$AD$12))</f>
        <v>0</v>
      </c>
      <c r="R19" s="1"/>
      <c r="S19" s="1">
        <f>SUMPRODUCT(NOT(ISBLANK(S$3:S$12))*(S$3:S$12&lt;$AE$3:$AE$12))</f>
        <v>0</v>
      </c>
      <c r="T19" s="1">
        <f>SUMPRODUCT(NOT(ISBLANK(T$3:T$12))*(T$3:T$12&lt;$AF$3:$AF$12))</f>
        <v>0</v>
      </c>
      <c r="U19" s="1">
        <f>SUMPRODUCT(NOT(ISBLANK(U$3:U$12))*(U$3:U$12&lt;$AG$3:$AG$12))</f>
        <v>0</v>
      </c>
      <c r="V19" s="1">
        <f>SUMPRODUCT(NOT(ISBLANK(V$3:V$12))*(V$3:V$12&lt;$AH$3:$AH$12))</f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 t="s">
        <v>16</v>
      </c>
      <c r="B20" s="1">
        <f>SUMPRODUCT((NOT(ISBLANK(B$3:B$12))*(B$3:B$12&gt;$AC$3:$AC$12))+ISBLANK(B$3:B$12))</f>
        <v>0</v>
      </c>
      <c r="C20" s="1">
        <f>SUMPRODUCT((NOT(ISBLANK(C$3:C$12))*(C$3:C$12&gt;$AD$3:$AD$12))+ISBLANK(C$3:C$12))</f>
        <v>0</v>
      </c>
      <c r="D20" s="1"/>
      <c r="E20" s="1">
        <f>SUMPRODUCT((NOT(ISBLANK(E$3:E$12))*(E$3:E$12&gt;$AE$3:$AE$12))+ISBLANK(E$3:E$12))</f>
        <v>0</v>
      </c>
      <c r="F20" s="1">
        <f>SUMPRODUCT((NOT(ISBLANK(F$3:F$12))*(F$3:F$12&gt;$AF$3:$AF$12))+ISBLANK(F$3:F$12))</f>
        <v>0</v>
      </c>
      <c r="G20" s="1">
        <f>SUMPRODUCT((NOT(ISBLANK(G$3:G$12))*(G$3:G$12&gt;$AG$3:$AG$12))+ISBLANK(G$3:G$12))</f>
        <v>0</v>
      </c>
      <c r="H20" s="1">
        <f>SUMPRODUCT((NOT(ISBLANK(H$3:H$12))*(H$3:H$12&gt;$AH$3:$AH$12))+ISBLANK(H$3:H$12))</f>
        <v>0</v>
      </c>
      <c r="I20" s="1">
        <f>SUMPRODUCT((NOT(ISBLANK(I$3:I$12))*(I$3:I$12&gt;$AC$3:$AC$12))+ISBLANK(I$3:I$12))</f>
        <v>0</v>
      </c>
      <c r="J20" s="1">
        <f>SUMPRODUCT((NOT(ISBLANK(J$3:J$12))*(J$3:J$12&gt;$AD$3:$AD$12))+ISBLANK(J$3:J$12))</f>
        <v>0</v>
      </c>
      <c r="K20" s="1"/>
      <c r="L20" s="1">
        <f>SUMPRODUCT((NOT(ISBLANK(L$3:L$12))*(L$3:L$12&gt;$AE$3:$AE$12))+ISBLANK(L$3:L$12))</f>
        <v>0</v>
      </c>
      <c r="M20" s="1">
        <f>SUMPRODUCT((NOT(ISBLANK(M$3:M$12))*(M$3:M$12&gt;$AF$3:$AF$12))+ISBLANK(M$3:M$12))</f>
        <v>0</v>
      </c>
      <c r="N20" s="1">
        <f>SUMPRODUCT((NOT(ISBLANK(N$3:N$12))*(N$3:N$12&gt;$AG$3:$AG$12))+ISBLANK(N$3:N$12))</f>
        <v>0</v>
      </c>
      <c r="O20" s="1">
        <f>SUMPRODUCT((NOT(ISBLANK(O$3:O$12))*(O$3:O$12&gt;$AH$3:$AH$12))+ISBLANK(O$3:O$12))</f>
        <v>0</v>
      </c>
      <c r="P20" s="1">
        <f>SUMPRODUCT((NOT(ISBLANK(P$3:P$12))*(P$3:P$12&gt;$AC$3:$AC$12))+ISBLANK(P$3:P$12))</f>
        <v>0</v>
      </c>
      <c r="Q20" s="1">
        <f>SUMPRODUCT((NOT(ISBLANK(Q$3:Q$12))*(Q$3:Q$12&gt;$AD$3:$AD$12))+ISBLANK(Q$3:Q$12))</f>
        <v>0</v>
      </c>
      <c r="R20" s="1"/>
      <c r="S20" s="1">
        <f>SUMPRODUCT((NOT(ISBLANK(S$3:S$12))*(S$3:S$12&gt;$AE$3:$AE$12))+ISBLANK(S$3:S$12))</f>
        <v>0</v>
      </c>
      <c r="T20" s="1">
        <f>SUMPRODUCT((NOT(ISBLANK(T$3:T$12))*(T$3:T$12&gt;$AF$3:$AF$12))+ISBLANK(T$3:T$12))</f>
        <v>0</v>
      </c>
      <c r="U20" s="1">
        <f>SUMPRODUCT((NOT(ISBLANK(U$3:U$12))*(U$3:U$12&gt;$AG$3:$AG$12))+ISBLANK(U$3:U$12))</f>
        <v>0</v>
      </c>
      <c r="V20" s="1">
        <f>SUMPRODUCT((NOT(ISBLANK(V$3:V$12))*(V$3:V$12&gt;$AH$3:$AH$12))+ISBLANK(V$3:V$12))</f>
        <v>0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 t="s">
        <v>17</v>
      </c>
      <c r="B21" s="1">
        <f>SUMPRODUCT((NOT(ISBLANK(B$3:B$12))*(B$3:B$12=$AI$3:$AI$12))+ISBLANK(B$3:B$12))</f>
        <v>0</v>
      </c>
      <c r="C21" s="1">
        <f>SUMPRODUCT((NOT(ISBLANK(C$3:C$12))*(C$3:C$12=$AJ$3:$AJ$12))+ISBLANK(C$3:C$12))</f>
        <v>0</v>
      </c>
      <c r="D21" s="1"/>
      <c r="E21" s="1">
        <f>SUMPRODUCT((NOT(ISBLANK(E$3:E$12))*(E$3:E$12=$AK$3:$AK$12))+ISBLANK(E$3:E$12))</f>
        <v>0</v>
      </c>
      <c r="F21" s="1">
        <f>SUMPRODUCT((NOT(ISBLANK(F$3:F$12))*(F$3:F$12=$AL$3:$AL$12))+ISBLANK(F$3:F$12))</f>
        <v>0</v>
      </c>
      <c r="G21" s="1">
        <f>SUMPRODUCT((NOT(ISBLANK(G$3:G$12))*(G$3:G$12=$AM$3:$AM$12))+ISBLANK(G$3:G$12))</f>
        <v>0</v>
      </c>
      <c r="H21" s="1">
        <f>SUMPRODUCT((NOT(ISBLANK(H$3:H$12))*(H$3:H$12=$AN$3:$AN$12))+ISBLANK(H$3:H$12))</f>
        <v>0</v>
      </c>
      <c r="I21" s="1">
        <f>SUMPRODUCT((NOT(ISBLANK(I$3:I$12))*(I$3:I$12=$AI$3:$AI$12))+ISBLANK(I$3:I$12))</f>
        <v>0</v>
      </c>
      <c r="J21" s="1">
        <f>SUMPRODUCT((NOT(ISBLANK(J$3:J$12))*(J$3:J$12=$AJ$3:$AJ$12))+ISBLANK(J$3:J$12))</f>
        <v>0</v>
      </c>
      <c r="K21" s="1"/>
      <c r="L21" s="1">
        <f>SUMPRODUCT((NOT(ISBLANK(L$3:L$12))*(L$3:L$12=$AK$3:$AK$12))+ISBLANK(L$3:L$12))</f>
        <v>0</v>
      </c>
      <c r="M21" s="1">
        <f>SUMPRODUCT((NOT(ISBLANK(M$3:M$12))*(M$3:M$12=$AL$3:$AL$12))+ISBLANK(M$3:M$12))</f>
        <v>0</v>
      </c>
      <c r="N21" s="1">
        <f>SUMPRODUCT((NOT(ISBLANK(N$3:N$12))*(N$3:N$12=$AM$3:$AM$12))+ISBLANK(N$3:N$12))</f>
        <v>0</v>
      </c>
      <c r="O21" s="1">
        <f>SUMPRODUCT((NOT(ISBLANK(O$3:O$12))*(O$3:O$12=$AN$3:$AN$12))+ISBLANK(O$3:O$12))</f>
        <v>0</v>
      </c>
      <c r="P21" s="1">
        <f>SUMPRODUCT((NOT(ISBLANK(P$3:P$12))*(P$3:P$12=$AI$3:$AI$12))+ISBLANK(P$3:P$12))</f>
        <v>0</v>
      </c>
      <c r="Q21" s="1">
        <f>SUMPRODUCT((NOT(ISBLANK(Q$3:Q$12))*(Q$3:Q$12=$AJ$3:$AJ$12))+ISBLANK(Q$3:Q$12))</f>
        <v>0</v>
      </c>
      <c r="R21" s="1"/>
      <c r="S21" s="1">
        <f>SUMPRODUCT((NOT(ISBLANK(S$3:S$12))*(S$3:S$12=$AK$3:$AK$12))+ISBLANK(S$3:S$12))</f>
        <v>0</v>
      </c>
      <c r="T21" s="1">
        <f>SUMPRODUCT((NOT(ISBLANK(T$3:T$12))*(T$3:T$12=$AL$3:$AL$12))+ISBLANK(T$3:T$12))</f>
        <v>0</v>
      </c>
      <c r="U21" s="1">
        <f>SUMPRODUCT((NOT(ISBLANK(U$3:U$12))*(U$3:U$12=$AM$3:$AM$12))+ISBLANK(U$3:U$12))</f>
        <v>0</v>
      </c>
      <c r="V21" s="1">
        <f>SUMPRODUCT((NOT(ISBLANK(V$3:V$12))*(V$3:V$12=$AN$3:$AN$12))+ISBLANK(V$3:V$12))</f>
        <v>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40" width="11.42578125" customWidth="1"/>
  </cols>
  <sheetData>
    <row r="1" spans="1:40">
      <c r="A1" s="1" t="s">
        <v>32</v>
      </c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 t="s">
        <v>30</v>
      </c>
      <c r="AD1" s="1"/>
      <c r="AE1" s="1"/>
      <c r="AF1" s="1"/>
      <c r="AG1" s="1"/>
      <c r="AH1" s="1"/>
      <c r="AI1" s="1" t="s">
        <v>31</v>
      </c>
      <c r="AJ1" s="1"/>
      <c r="AK1" s="1"/>
      <c r="AL1" s="1"/>
      <c r="AM1" s="1"/>
      <c r="AN1" s="1"/>
    </row>
    <row r="2" spans="1:40">
      <c r="A2" s="2" t="s">
        <v>30</v>
      </c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19</v>
      </c>
      <c r="AD2" s="1" t="s">
        <v>20</v>
      </c>
      <c r="AE2" s="1" t="s">
        <v>23</v>
      </c>
      <c r="AF2" s="1" t="s">
        <v>24</v>
      </c>
      <c r="AG2" s="1" t="s">
        <v>25</v>
      </c>
      <c r="AH2" s="1" t="s">
        <v>26</v>
      </c>
      <c r="AI2" s="1" t="s">
        <v>19</v>
      </c>
      <c r="AJ2" s="1" t="s">
        <v>20</v>
      </c>
      <c r="AK2" s="1" t="s">
        <v>23</v>
      </c>
      <c r="AL2" s="1" t="s">
        <v>24</v>
      </c>
      <c r="AM2" s="1" t="s">
        <v>25</v>
      </c>
      <c r="AN2" s="1" t="s">
        <v>26</v>
      </c>
    </row>
    <row r="3" spans="1:40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/>
      <c r="D4" s="1"/>
      <c r="E4" s="1"/>
      <c r="F4" s="1"/>
      <c r="G4" s="1"/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/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</row>
    <row r="15" spans="1:40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</row>
    <row r="16" spans="1:40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</row>
    <row r="17" spans="1:40">
      <c r="A17" s="1" t="s">
        <v>13</v>
      </c>
      <c r="B17" s="1">
        <f>SUMPRODUCT(--(B$3:B$12-$W$3:$W$12)^2)^0.5</f>
        <v>0</v>
      </c>
      <c r="C17" s="1">
        <f>SUMPRODUCT(--(C$3:C$12-$X$3:$X$12)^2)^0.5</f>
        <v>0</v>
      </c>
      <c r="D17" s="1"/>
      <c r="E17" s="1">
        <f>SUMPRODUCT(--(E$3:E$12-$Y$3:$Y$12)^2)^0.5</f>
        <v>0</v>
      </c>
      <c r="F17" s="1">
        <f>SUMPRODUCT(--(F$3:F$12-$Z$3:$Z$12)^2)^0.5</f>
        <v>0</v>
      </c>
      <c r="G17" s="1">
        <f>SUMPRODUCT(--(G$3:G$12-$AA$3:$AA$12)^2)^0.5</f>
        <v>0</v>
      </c>
      <c r="H17" s="1">
        <f>SUMPRODUCT(--(H$3:H$12-$AB$3:$AB$12)^2)^0.5</f>
        <v>0</v>
      </c>
      <c r="I17" s="1">
        <f>SUMPRODUCT(--(I$3:I$12-$W$3:$W$12)^2)^0.5</f>
        <v>0</v>
      </c>
      <c r="J17" s="1">
        <f>SUMPRODUCT(--(J$3:J$12-$X$3:$X$12)^2)^0.5</f>
        <v>0</v>
      </c>
      <c r="K17" s="1"/>
      <c r="L17" s="1">
        <f>SUMPRODUCT(--(L$3:L$12-$Y$3:$Y$12)^2)^0.5</f>
        <v>0</v>
      </c>
      <c r="M17" s="1">
        <f>SUMPRODUCT(--(M$3:M$12-$Z$3:$Z$12)^2)^0.5</f>
        <v>0</v>
      </c>
      <c r="N17" s="1">
        <f>SUMPRODUCT(--(N$3:N$12-$AA$3:$AA$12)^2)^0.5</f>
        <v>0</v>
      </c>
      <c r="O17" s="1">
        <f>SUMPRODUCT(--(O$3:O$12-$AB$3:$AB$12)^2)^0.5</f>
        <v>0</v>
      </c>
      <c r="P17" s="1">
        <f>SUMPRODUCT(--(P$3:P$12-$W$3:$W$12)^2)^0.5</f>
        <v>0</v>
      </c>
      <c r="Q17" s="1">
        <f>SUMPRODUCT(--(Q$3:Q$12-$X$3:$X$12)^2)^0.5</f>
        <v>0</v>
      </c>
      <c r="R17" s="1"/>
      <c r="S17" s="1">
        <f>SUMPRODUCT(--(S$3:S$12-$Y$3:$Y$12)^2)^0.5</f>
        <v>0</v>
      </c>
      <c r="T17" s="1">
        <f>SUMPRODUCT(--(T$3:T$12-$Z$3:$Z$12)^2)^0.5</f>
        <v>0</v>
      </c>
      <c r="U17" s="1">
        <f>SUMPRODUCT(--(U$3:U$12-$AA$3:$AA$12)^2)^0.5</f>
        <v>0</v>
      </c>
      <c r="V17" s="1">
        <f>SUMPRODUCT(--(V$3:V$12-$AB$3:$AB$12)^2)^0.5</f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 t="s">
        <v>14</v>
      </c>
      <c r="B18" s="1">
        <f>SUMPRODUCT(NOT(ISBLANK(B$3:B$12))*(B$3:B$12=$W$3:$W$12))</f>
        <v>0</v>
      </c>
      <c r="C18" s="1">
        <f>SUMPRODUCT(NOT(ISBLANK(C$3:C$12))*(C$3:C$12=$X$3:$X$12))</f>
        <v>0</v>
      </c>
      <c r="D18" s="1"/>
      <c r="E18" s="1">
        <f>SUMPRODUCT(NOT(ISBLANK(E$3:E$12))*(E$3:E$12=$Y$3:$Y$12))</f>
        <v>0</v>
      </c>
      <c r="F18" s="1">
        <f>SUMPRODUCT(NOT(ISBLANK(F$3:F$12))*(F$3:F$12=$Z$3:$Z$12))</f>
        <v>0</v>
      </c>
      <c r="G18" s="1">
        <f>SUMPRODUCT(NOT(ISBLANK(G$3:G$12))*(G$3:G$12=$AA$3:$AA$12))</f>
        <v>0</v>
      </c>
      <c r="H18" s="1">
        <f>SUMPRODUCT(NOT(ISBLANK(H$3:H$12))*(H$3:H$12=$AB$3:$AB$12))</f>
        <v>0</v>
      </c>
      <c r="I18" s="1">
        <f>SUMPRODUCT(NOT(ISBLANK(I$3:I$12))*(I$3:I$12=$W$3:$W$12))</f>
        <v>0</v>
      </c>
      <c r="J18" s="1">
        <f>SUMPRODUCT(NOT(ISBLANK(J$3:J$12))*(J$3:J$12=$X$3:$X$12))</f>
        <v>0</v>
      </c>
      <c r="K18" s="1"/>
      <c r="L18" s="1">
        <f>SUMPRODUCT(NOT(ISBLANK(L$3:L$12))*(L$3:L$12=$Y$3:$Y$12))</f>
        <v>0</v>
      </c>
      <c r="M18" s="1">
        <f>SUMPRODUCT(NOT(ISBLANK(M$3:M$12))*(M$3:M$12=$Z$3:$Z$12))</f>
        <v>0</v>
      </c>
      <c r="N18" s="1">
        <f>SUMPRODUCT(NOT(ISBLANK(N$3:N$12))*(N$3:N$12=$AA$3:$AA$12))</f>
        <v>0</v>
      </c>
      <c r="O18" s="1">
        <f>SUMPRODUCT(NOT(ISBLANK(O$3:O$12))*(O$3:O$12=$AB$3:$AB$12))</f>
        <v>0</v>
      </c>
      <c r="P18" s="1">
        <f>SUMPRODUCT(NOT(ISBLANK(P$3:P$12))*(P$3:P$12=$W$3:$W$12))</f>
        <v>0</v>
      </c>
      <c r="Q18" s="1">
        <f>SUMPRODUCT(NOT(ISBLANK(Q$3:Q$12))*(Q$3:Q$12=$X$3:$X$12))</f>
        <v>0</v>
      </c>
      <c r="R18" s="1"/>
      <c r="S18" s="1">
        <f>SUMPRODUCT(NOT(ISBLANK(S$3:S$12))*(S$3:S$12=$Y$3:$Y$12))</f>
        <v>0</v>
      </c>
      <c r="T18" s="1">
        <f>SUMPRODUCT(NOT(ISBLANK(T$3:T$12))*(T$3:T$12=$Z$3:$Z$12))</f>
        <v>0</v>
      </c>
      <c r="U18" s="1">
        <f>SUMPRODUCT(NOT(ISBLANK(U$3:U$12))*(U$3:U$12=$AA$3:$AA$12))</f>
        <v>0</v>
      </c>
      <c r="V18" s="1">
        <f>SUMPRODUCT(NOT(ISBLANK(V$3:V$12))*(V$3:V$12=$AB$3:$AB$12))</f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 t="s">
        <v>15</v>
      </c>
      <c r="B19" s="1">
        <f>SUMPRODUCT(NOT(ISBLANK(B$3:B$12))*(B$3:B$12&lt;$AC$3:$AC$12))</f>
        <v>0</v>
      </c>
      <c r="C19" s="1">
        <f>SUMPRODUCT(NOT(ISBLANK(C$3:C$12))*(C$3:C$12&lt;$AD$3:$AD$12))</f>
        <v>0</v>
      </c>
      <c r="D19" s="1"/>
      <c r="E19" s="1">
        <f>SUMPRODUCT(NOT(ISBLANK(E$3:E$12))*(E$3:E$12&lt;$AE$3:$AE$12))</f>
        <v>0</v>
      </c>
      <c r="F19" s="1">
        <f>SUMPRODUCT(NOT(ISBLANK(F$3:F$12))*(F$3:F$12&lt;$AF$3:$AF$12))</f>
        <v>0</v>
      </c>
      <c r="G19" s="1">
        <f>SUMPRODUCT(NOT(ISBLANK(G$3:G$12))*(G$3:G$12&lt;$AG$3:$AG$12))</f>
        <v>0</v>
      </c>
      <c r="H19" s="1">
        <f>SUMPRODUCT(NOT(ISBLANK(H$3:H$12))*(H$3:H$12&lt;$AH$3:$AH$12))</f>
        <v>0</v>
      </c>
      <c r="I19" s="1">
        <f>SUMPRODUCT(NOT(ISBLANK(I$3:I$12))*(I$3:I$12&lt;$AC$3:$AC$12))</f>
        <v>0</v>
      </c>
      <c r="J19" s="1">
        <f>SUMPRODUCT(NOT(ISBLANK(J$3:J$12))*(J$3:J$12&lt;$AD$3:$AD$12))</f>
        <v>0</v>
      </c>
      <c r="K19" s="1"/>
      <c r="L19" s="1">
        <f>SUMPRODUCT(NOT(ISBLANK(L$3:L$12))*(L$3:L$12&lt;$AE$3:$AE$12))</f>
        <v>0</v>
      </c>
      <c r="M19" s="1">
        <f>SUMPRODUCT(NOT(ISBLANK(M$3:M$12))*(M$3:M$12&lt;$AF$3:$AF$12))</f>
        <v>0</v>
      </c>
      <c r="N19" s="1">
        <f>SUMPRODUCT(NOT(ISBLANK(N$3:N$12))*(N$3:N$12&lt;$AG$3:$AG$12))</f>
        <v>0</v>
      </c>
      <c r="O19" s="1">
        <f>SUMPRODUCT(NOT(ISBLANK(O$3:O$12))*(O$3:O$12&lt;$AH$3:$AH$12))</f>
        <v>0</v>
      </c>
      <c r="P19" s="1">
        <f>SUMPRODUCT(NOT(ISBLANK(P$3:P$12))*(P$3:P$12&lt;$AC$3:$AC$12))</f>
        <v>0</v>
      </c>
      <c r="Q19" s="1">
        <f>SUMPRODUCT(NOT(ISBLANK(Q$3:Q$12))*(Q$3:Q$12&lt;$AD$3:$AD$12))</f>
        <v>0</v>
      </c>
      <c r="R19" s="1"/>
      <c r="S19" s="1">
        <f>SUMPRODUCT(NOT(ISBLANK(S$3:S$12))*(S$3:S$12&lt;$AE$3:$AE$12))</f>
        <v>0</v>
      </c>
      <c r="T19" s="1">
        <f>SUMPRODUCT(NOT(ISBLANK(T$3:T$12))*(T$3:T$12&lt;$AF$3:$AF$12))</f>
        <v>0</v>
      </c>
      <c r="U19" s="1">
        <f>SUMPRODUCT(NOT(ISBLANK(U$3:U$12))*(U$3:U$12&lt;$AG$3:$AG$12))</f>
        <v>0</v>
      </c>
      <c r="V19" s="1">
        <f>SUMPRODUCT(NOT(ISBLANK(V$3:V$12))*(V$3:V$12&lt;$AH$3:$AH$12))</f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 t="s">
        <v>16</v>
      </c>
      <c r="B20" s="1">
        <f>SUMPRODUCT((NOT(ISBLANK(B$3:B$12))*(B$3:B$12&gt;$AC$3:$AC$12))+ISBLANK(B$3:B$12))</f>
        <v>0</v>
      </c>
      <c r="C20" s="1">
        <f>SUMPRODUCT((NOT(ISBLANK(C$3:C$12))*(C$3:C$12&gt;$AD$3:$AD$12))+ISBLANK(C$3:C$12))</f>
        <v>0</v>
      </c>
      <c r="D20" s="1"/>
      <c r="E20" s="1">
        <f>SUMPRODUCT((NOT(ISBLANK(E$3:E$12))*(E$3:E$12&gt;$AE$3:$AE$12))+ISBLANK(E$3:E$12))</f>
        <v>0</v>
      </c>
      <c r="F20" s="1">
        <f>SUMPRODUCT((NOT(ISBLANK(F$3:F$12))*(F$3:F$12&gt;$AF$3:$AF$12))+ISBLANK(F$3:F$12))</f>
        <v>0</v>
      </c>
      <c r="G20" s="1">
        <f>SUMPRODUCT((NOT(ISBLANK(G$3:G$12))*(G$3:G$12&gt;$AG$3:$AG$12))+ISBLANK(G$3:G$12))</f>
        <v>0</v>
      </c>
      <c r="H20" s="1">
        <f>SUMPRODUCT((NOT(ISBLANK(H$3:H$12))*(H$3:H$12&gt;$AH$3:$AH$12))+ISBLANK(H$3:H$12))</f>
        <v>0</v>
      </c>
      <c r="I20" s="1">
        <f>SUMPRODUCT((NOT(ISBLANK(I$3:I$12))*(I$3:I$12&gt;$AC$3:$AC$12))+ISBLANK(I$3:I$12))</f>
        <v>0</v>
      </c>
      <c r="J20" s="1">
        <f>SUMPRODUCT((NOT(ISBLANK(J$3:J$12))*(J$3:J$12&gt;$AD$3:$AD$12))+ISBLANK(J$3:J$12))</f>
        <v>0</v>
      </c>
      <c r="K20" s="1"/>
      <c r="L20" s="1">
        <f>SUMPRODUCT((NOT(ISBLANK(L$3:L$12))*(L$3:L$12&gt;$AE$3:$AE$12))+ISBLANK(L$3:L$12))</f>
        <v>0</v>
      </c>
      <c r="M20" s="1">
        <f>SUMPRODUCT((NOT(ISBLANK(M$3:M$12))*(M$3:M$12&gt;$AF$3:$AF$12))+ISBLANK(M$3:M$12))</f>
        <v>0</v>
      </c>
      <c r="N20" s="1">
        <f>SUMPRODUCT((NOT(ISBLANK(N$3:N$12))*(N$3:N$12&gt;$AG$3:$AG$12))+ISBLANK(N$3:N$12))</f>
        <v>0</v>
      </c>
      <c r="O20" s="1">
        <f>SUMPRODUCT((NOT(ISBLANK(O$3:O$12))*(O$3:O$12&gt;$AH$3:$AH$12))+ISBLANK(O$3:O$12))</f>
        <v>0</v>
      </c>
      <c r="P20" s="1">
        <f>SUMPRODUCT((NOT(ISBLANK(P$3:P$12))*(P$3:P$12&gt;$AC$3:$AC$12))+ISBLANK(P$3:P$12))</f>
        <v>0</v>
      </c>
      <c r="Q20" s="1">
        <f>SUMPRODUCT((NOT(ISBLANK(Q$3:Q$12))*(Q$3:Q$12&gt;$AD$3:$AD$12))+ISBLANK(Q$3:Q$12))</f>
        <v>0</v>
      </c>
      <c r="R20" s="1"/>
      <c r="S20" s="1">
        <f>SUMPRODUCT((NOT(ISBLANK(S$3:S$12))*(S$3:S$12&gt;$AE$3:$AE$12))+ISBLANK(S$3:S$12))</f>
        <v>0</v>
      </c>
      <c r="T20" s="1">
        <f>SUMPRODUCT((NOT(ISBLANK(T$3:T$12))*(T$3:T$12&gt;$AF$3:$AF$12))+ISBLANK(T$3:T$12))</f>
        <v>0</v>
      </c>
      <c r="U20" s="1">
        <f>SUMPRODUCT((NOT(ISBLANK(U$3:U$12))*(U$3:U$12&gt;$AG$3:$AG$12))+ISBLANK(U$3:U$12))</f>
        <v>0</v>
      </c>
      <c r="V20" s="1">
        <f>SUMPRODUCT((NOT(ISBLANK(V$3:V$12))*(V$3:V$12&gt;$AH$3:$AH$12))+ISBLANK(V$3:V$12))</f>
        <v>0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 t="s">
        <v>17</v>
      </c>
      <c r="B21" s="1">
        <f>SUMPRODUCT((NOT(ISBLANK(B$3:B$12))*(B$3:B$12=$AI$3:$AI$12))+ISBLANK(B$3:B$12))</f>
        <v>0</v>
      </c>
      <c r="C21" s="1">
        <f>SUMPRODUCT((NOT(ISBLANK(C$3:C$12))*(C$3:C$12=$AJ$3:$AJ$12))+ISBLANK(C$3:C$12))</f>
        <v>0</v>
      </c>
      <c r="D21" s="1"/>
      <c r="E21" s="1">
        <f>SUMPRODUCT((NOT(ISBLANK(E$3:E$12))*(E$3:E$12=$AK$3:$AK$12))+ISBLANK(E$3:E$12))</f>
        <v>0</v>
      </c>
      <c r="F21" s="1">
        <f>SUMPRODUCT((NOT(ISBLANK(F$3:F$12))*(F$3:F$12=$AL$3:$AL$12))+ISBLANK(F$3:F$12))</f>
        <v>0</v>
      </c>
      <c r="G21" s="1">
        <f>SUMPRODUCT((NOT(ISBLANK(G$3:G$12))*(G$3:G$12=$AM$3:$AM$12))+ISBLANK(G$3:G$12))</f>
        <v>0</v>
      </c>
      <c r="H21" s="1">
        <f>SUMPRODUCT((NOT(ISBLANK(H$3:H$12))*(H$3:H$12=$AN$3:$AN$12))+ISBLANK(H$3:H$12))</f>
        <v>0</v>
      </c>
      <c r="I21" s="1">
        <f>SUMPRODUCT((NOT(ISBLANK(I$3:I$12))*(I$3:I$12=$AI$3:$AI$12))+ISBLANK(I$3:I$12))</f>
        <v>0</v>
      </c>
      <c r="J21" s="1">
        <f>SUMPRODUCT((NOT(ISBLANK(J$3:J$12))*(J$3:J$12=$AJ$3:$AJ$12))+ISBLANK(J$3:J$12))</f>
        <v>0</v>
      </c>
      <c r="K21" s="1"/>
      <c r="L21" s="1">
        <f>SUMPRODUCT((NOT(ISBLANK(L$3:L$12))*(L$3:L$12=$AK$3:$AK$12))+ISBLANK(L$3:L$12))</f>
        <v>0</v>
      </c>
      <c r="M21" s="1">
        <f>SUMPRODUCT((NOT(ISBLANK(M$3:M$12))*(M$3:M$12=$AL$3:$AL$12))+ISBLANK(M$3:M$12))</f>
        <v>0</v>
      </c>
      <c r="N21" s="1">
        <f>SUMPRODUCT((NOT(ISBLANK(N$3:N$12))*(N$3:N$12=$AM$3:$AM$12))+ISBLANK(N$3:N$12))</f>
        <v>0</v>
      </c>
      <c r="O21" s="1">
        <f>SUMPRODUCT((NOT(ISBLANK(O$3:O$12))*(O$3:O$12=$AN$3:$AN$12))+ISBLANK(O$3:O$12))</f>
        <v>0</v>
      </c>
      <c r="P21" s="1">
        <f>SUMPRODUCT((NOT(ISBLANK(P$3:P$12))*(P$3:P$12=$AI$3:$AI$12))+ISBLANK(P$3:P$12))</f>
        <v>0</v>
      </c>
      <c r="Q21" s="1">
        <f>SUMPRODUCT((NOT(ISBLANK(Q$3:Q$12))*(Q$3:Q$12=$AJ$3:$AJ$12))+ISBLANK(Q$3:Q$12))</f>
        <v>0</v>
      </c>
      <c r="R21" s="1"/>
      <c r="S21" s="1">
        <f>SUMPRODUCT((NOT(ISBLANK(S$3:S$12))*(S$3:S$12=$AK$3:$AK$12))+ISBLANK(S$3:S$12))</f>
        <v>0</v>
      </c>
      <c r="T21" s="1">
        <f>SUMPRODUCT((NOT(ISBLANK(T$3:T$12))*(T$3:T$12=$AL$3:$AL$12))+ISBLANK(T$3:T$12))</f>
        <v>0</v>
      </c>
      <c r="U21" s="1">
        <f>SUMPRODUCT((NOT(ISBLANK(U$3:U$12))*(U$3:U$12=$AM$3:$AM$12))+ISBLANK(U$3:U$12))</f>
        <v>0</v>
      </c>
      <c r="V21" s="1">
        <f>SUMPRODUCT((NOT(ISBLANK(V$3:V$12))*(V$3:V$12=$AN$3:$AN$12))+ISBLANK(V$3:V$12))</f>
        <v>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40" width="11.42578125" customWidth="1"/>
  </cols>
  <sheetData>
    <row r="1" spans="1:40">
      <c r="A1" s="1"/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 t="s">
        <v>30</v>
      </c>
      <c r="AD1" s="1"/>
      <c r="AE1" s="1"/>
      <c r="AF1" s="1"/>
      <c r="AG1" s="1"/>
      <c r="AH1" s="1"/>
      <c r="AI1" s="1" t="s">
        <v>31</v>
      </c>
      <c r="AJ1" s="1"/>
      <c r="AK1" s="1"/>
      <c r="AL1" s="1"/>
      <c r="AM1" s="1"/>
      <c r="AN1" s="1"/>
    </row>
    <row r="2" spans="1:40">
      <c r="A2" s="1"/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19</v>
      </c>
      <c r="AD2" s="1" t="s">
        <v>20</v>
      </c>
      <c r="AE2" s="1" t="s">
        <v>23</v>
      </c>
      <c r="AF2" s="1" t="s">
        <v>24</v>
      </c>
      <c r="AG2" s="1" t="s">
        <v>25</v>
      </c>
      <c r="AH2" s="1" t="s">
        <v>26</v>
      </c>
      <c r="AI2" s="1" t="s">
        <v>19</v>
      </c>
      <c r="AJ2" s="1" t="s">
        <v>20</v>
      </c>
      <c r="AK2" s="1" t="s">
        <v>23</v>
      </c>
      <c r="AL2" s="1" t="s">
        <v>24</v>
      </c>
      <c r="AM2" s="1" t="s">
        <v>25</v>
      </c>
      <c r="AN2" s="1" t="s">
        <v>26</v>
      </c>
    </row>
    <row r="3" spans="1:40">
      <c r="A3" s="1" t="s">
        <v>33</v>
      </c>
      <c r="B3" s="1">
        <f>AVERAGE(Instances!B3:Instances!B12)</f>
        <v>0</v>
      </c>
      <c r="C3" s="1">
        <f>AVERAGE(Instances!C3:Instances!C12)</f>
        <v>0</v>
      </c>
      <c r="D3" s="1"/>
      <c r="E3" s="1">
        <f>AVERAGE(Instances!E3:Instances!E12)</f>
        <v>0</v>
      </c>
      <c r="F3" s="1">
        <f>AVERAGE(Instances!F3:Instances!F12)</f>
        <v>0</v>
      </c>
      <c r="G3" s="1">
        <f>AVERAGE(Instances!G3:Instances!G12)</f>
        <v>0</v>
      </c>
      <c r="H3" s="1">
        <f>AVERAGE(Instances!H3:Instances!H12)</f>
        <v>0</v>
      </c>
      <c r="I3" s="1">
        <f>AVERAGE(Instances!I3:Instances!I12)</f>
        <v>0</v>
      </c>
      <c r="J3" s="1">
        <f>AVERAGE(Instances!J3:Instances!J12)</f>
        <v>0</v>
      </c>
      <c r="K3" s="1"/>
      <c r="L3" s="1">
        <f>AVERAGE(Instances!L3:Instances!L12)</f>
        <v>0</v>
      </c>
      <c r="M3" s="1">
        <f>AVERAGE(Instances!M3:Instances!M12)</f>
        <v>0</v>
      </c>
      <c r="N3" s="1">
        <f>AVERAGE(Instances!N3:Instances!N12)</f>
        <v>0</v>
      </c>
      <c r="O3" s="1">
        <f>AVERAGE(Instances!O3:Instances!O12)</f>
        <v>0</v>
      </c>
      <c r="P3" s="1">
        <f>AVERAGE(Instances!P3:Instances!P12)</f>
        <v>0</v>
      </c>
      <c r="Q3" s="1">
        <f>AVERAGE(Instances!Q3:Instances!Q12)</f>
        <v>0</v>
      </c>
      <c r="R3" s="1"/>
      <c r="S3" s="1">
        <f>AVERAGE(Instances!S3:Instances!S12)</f>
        <v>0</v>
      </c>
      <c r="T3" s="1">
        <f>AVERAGE(Instances!T3:Instances!T12)</f>
        <v>0</v>
      </c>
      <c r="U3" s="1">
        <f>AVERAGE(Instances!U3:Instances!U12)</f>
        <v>0</v>
      </c>
      <c r="V3" s="1">
        <f>AVERAGE(Instances!V3:Instances!V12)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 t="s">
        <v>10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</row>
    <row r="6" spans="1:40">
      <c r="A6" s="1" t="s">
        <v>11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</row>
    <row r="7" spans="1:40">
      <c r="A7" s="1" t="s">
        <v>12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</row>
    <row r="8" spans="1:40">
      <c r="A8" s="1" t="s">
        <v>13</v>
      </c>
      <c r="B8" s="1">
        <f>SUMPRODUCT(--(B$3:B$3-$W$3:$W$3)^2)^0.5</f>
        <v>0</v>
      </c>
      <c r="C8" s="1">
        <f>SUMPRODUCT(--(C$3:C$3-$X$3:$X$3)^2)^0.5</f>
        <v>0</v>
      </c>
      <c r="D8" s="1"/>
      <c r="E8" s="1">
        <f>SUMPRODUCT(--(E$3:E$3-$Y$3:$Y$3)^2)^0.5</f>
        <v>0</v>
      </c>
      <c r="F8" s="1">
        <f>SUMPRODUCT(--(F$3:F$3-$Z$3:$Z$3)^2)^0.5</f>
        <v>0</v>
      </c>
      <c r="G8" s="1">
        <f>SUMPRODUCT(--(G$3:G$3-$AA$3:$AA$3)^2)^0.5</f>
        <v>0</v>
      </c>
      <c r="H8" s="1">
        <f>SUMPRODUCT(--(H$3:H$3-$AB$3:$AB$3)^2)^0.5</f>
        <v>0</v>
      </c>
      <c r="I8" s="1">
        <f>SUMPRODUCT(--(I$3:I$3-$W$3:$W$3)^2)^0.5</f>
        <v>0</v>
      </c>
      <c r="J8" s="1">
        <f>SUMPRODUCT(--(J$3:J$3-$X$3:$X$3)^2)^0.5</f>
        <v>0</v>
      </c>
      <c r="K8" s="1"/>
      <c r="L8" s="1">
        <f>SUMPRODUCT(--(L$3:L$3-$Y$3:$Y$3)^2)^0.5</f>
        <v>0</v>
      </c>
      <c r="M8" s="1">
        <f>SUMPRODUCT(--(M$3:M$3-$Z$3:$Z$3)^2)^0.5</f>
        <v>0</v>
      </c>
      <c r="N8" s="1">
        <f>SUMPRODUCT(--(N$3:N$3-$AA$3:$AA$3)^2)^0.5</f>
        <v>0</v>
      </c>
      <c r="O8" s="1">
        <f>SUMPRODUCT(--(O$3:O$3-$AB$3:$AB$3)^2)^0.5</f>
        <v>0</v>
      </c>
      <c r="P8" s="1">
        <f>SUMPRODUCT(--(P$3:P$3-$W$3:$W$3)^2)^0.5</f>
        <v>0</v>
      </c>
      <c r="Q8" s="1">
        <f>SUMPRODUCT(--(Q$3:Q$3-$X$3:$X$3)^2)^0.5</f>
        <v>0</v>
      </c>
      <c r="R8" s="1"/>
      <c r="S8" s="1">
        <f>SUMPRODUCT(--(S$3:S$3-$Y$3:$Y$3)^2)^0.5</f>
        <v>0</v>
      </c>
      <c r="T8" s="1">
        <f>SUMPRODUCT(--(T$3:T$3-$Z$3:$Z$3)^2)^0.5</f>
        <v>0</v>
      </c>
      <c r="U8" s="1">
        <f>SUMPRODUCT(--(U$3:U$3-$AA$3:$AA$3)^2)^0.5</f>
        <v>0</v>
      </c>
      <c r="V8" s="1">
        <f>SUMPRODUCT(--(V$3:V$3-$AB$3:$AB$3)^2)^0.5</f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" t="s">
        <v>14</v>
      </c>
      <c r="B9" s="1">
        <f>SUMPRODUCT(NOT(ISBLANK(B$3:B$3))*(B$3:B$3=$W$3:$W$3))</f>
        <v>0</v>
      </c>
      <c r="C9" s="1">
        <f>SUMPRODUCT(NOT(ISBLANK(C$3:C$3))*(C$3:C$3=$X$3:$X$3))</f>
        <v>0</v>
      </c>
      <c r="D9" s="1"/>
      <c r="E9" s="1">
        <f>SUMPRODUCT(NOT(ISBLANK(E$3:E$3))*(E$3:E$3=$Y$3:$Y$3))</f>
        <v>0</v>
      </c>
      <c r="F9" s="1">
        <f>SUMPRODUCT(NOT(ISBLANK(F$3:F$3))*(F$3:F$3=$Z$3:$Z$3))</f>
        <v>0</v>
      </c>
      <c r="G9" s="1">
        <f>SUMPRODUCT(NOT(ISBLANK(G$3:G$3))*(G$3:G$3=$AA$3:$AA$3))</f>
        <v>0</v>
      </c>
      <c r="H9" s="1">
        <f>SUMPRODUCT(NOT(ISBLANK(H$3:H$3))*(H$3:H$3=$AB$3:$AB$3))</f>
        <v>0</v>
      </c>
      <c r="I9" s="1">
        <f>SUMPRODUCT(NOT(ISBLANK(I$3:I$3))*(I$3:I$3=$W$3:$W$3))</f>
        <v>0</v>
      </c>
      <c r="J9" s="1">
        <f>SUMPRODUCT(NOT(ISBLANK(J$3:J$3))*(J$3:J$3=$X$3:$X$3))</f>
        <v>0</v>
      </c>
      <c r="K9" s="1"/>
      <c r="L9" s="1">
        <f>SUMPRODUCT(NOT(ISBLANK(L$3:L$3))*(L$3:L$3=$Y$3:$Y$3))</f>
        <v>0</v>
      </c>
      <c r="M9" s="1">
        <f>SUMPRODUCT(NOT(ISBLANK(M$3:M$3))*(M$3:M$3=$Z$3:$Z$3))</f>
        <v>0</v>
      </c>
      <c r="N9" s="1">
        <f>SUMPRODUCT(NOT(ISBLANK(N$3:N$3))*(N$3:N$3=$AA$3:$AA$3))</f>
        <v>0</v>
      </c>
      <c r="O9" s="1">
        <f>SUMPRODUCT(NOT(ISBLANK(O$3:O$3))*(O$3:O$3=$AB$3:$AB$3))</f>
        <v>0</v>
      </c>
      <c r="P9" s="1">
        <f>SUMPRODUCT(NOT(ISBLANK(P$3:P$3))*(P$3:P$3=$W$3:$W$3))</f>
        <v>0</v>
      </c>
      <c r="Q9" s="1">
        <f>SUMPRODUCT(NOT(ISBLANK(Q$3:Q$3))*(Q$3:Q$3=$X$3:$X$3))</f>
        <v>0</v>
      </c>
      <c r="R9" s="1"/>
      <c r="S9" s="1">
        <f>SUMPRODUCT(NOT(ISBLANK(S$3:S$3))*(S$3:S$3=$Y$3:$Y$3))</f>
        <v>0</v>
      </c>
      <c r="T9" s="1">
        <f>SUMPRODUCT(NOT(ISBLANK(T$3:T$3))*(T$3:T$3=$Z$3:$Z$3))</f>
        <v>0</v>
      </c>
      <c r="U9" s="1">
        <f>SUMPRODUCT(NOT(ISBLANK(U$3:U$3))*(U$3:U$3=$AA$3:$AA$3))</f>
        <v>0</v>
      </c>
      <c r="V9" s="1">
        <f>SUMPRODUCT(NOT(ISBLANK(V$3:V$3))*(V$3:V$3=$AB$3:$AB$3))</f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" t="s">
        <v>15</v>
      </c>
      <c r="B10" s="1">
        <f>SUMPRODUCT(NOT(ISBLANK(B$3:B$3))*(B$3:B$3&lt;$AC$3:$AC$3))</f>
        <v>0</v>
      </c>
      <c r="C10" s="1">
        <f>SUMPRODUCT(NOT(ISBLANK(C$3:C$3))*(C$3:C$3&lt;$AD$3:$AD$3))</f>
        <v>0</v>
      </c>
      <c r="D10" s="1"/>
      <c r="E10" s="1">
        <f>SUMPRODUCT(NOT(ISBLANK(E$3:E$3))*(E$3:E$3&lt;$AE$3:$AE$3))</f>
        <v>0</v>
      </c>
      <c r="F10" s="1">
        <f>SUMPRODUCT(NOT(ISBLANK(F$3:F$3))*(F$3:F$3&lt;$AF$3:$AF$3))</f>
        <v>0</v>
      </c>
      <c r="G10" s="1">
        <f>SUMPRODUCT(NOT(ISBLANK(G$3:G$3))*(G$3:G$3&lt;$AG$3:$AG$3))</f>
        <v>0</v>
      </c>
      <c r="H10" s="1">
        <f>SUMPRODUCT(NOT(ISBLANK(H$3:H$3))*(H$3:H$3&lt;$AH$3:$AH$3))</f>
        <v>0</v>
      </c>
      <c r="I10" s="1">
        <f>SUMPRODUCT(NOT(ISBLANK(I$3:I$3))*(I$3:I$3&lt;$AC$3:$AC$3))</f>
        <v>0</v>
      </c>
      <c r="J10" s="1">
        <f>SUMPRODUCT(NOT(ISBLANK(J$3:J$3))*(J$3:J$3&lt;$AD$3:$AD$3))</f>
        <v>0</v>
      </c>
      <c r="K10" s="1"/>
      <c r="L10" s="1">
        <f>SUMPRODUCT(NOT(ISBLANK(L$3:L$3))*(L$3:L$3&lt;$AE$3:$AE$3))</f>
        <v>0</v>
      </c>
      <c r="M10" s="1">
        <f>SUMPRODUCT(NOT(ISBLANK(M$3:M$3))*(M$3:M$3&lt;$AF$3:$AF$3))</f>
        <v>0</v>
      </c>
      <c r="N10" s="1">
        <f>SUMPRODUCT(NOT(ISBLANK(N$3:N$3))*(N$3:N$3&lt;$AG$3:$AG$3))</f>
        <v>0</v>
      </c>
      <c r="O10" s="1">
        <f>SUMPRODUCT(NOT(ISBLANK(O$3:O$3))*(O$3:O$3&lt;$AH$3:$AH$3))</f>
        <v>0</v>
      </c>
      <c r="P10" s="1">
        <f>SUMPRODUCT(NOT(ISBLANK(P$3:P$3))*(P$3:P$3&lt;$AC$3:$AC$3))</f>
        <v>0</v>
      </c>
      <c r="Q10" s="1">
        <f>SUMPRODUCT(NOT(ISBLANK(Q$3:Q$3))*(Q$3:Q$3&lt;$AD$3:$AD$3))</f>
        <v>0</v>
      </c>
      <c r="R10" s="1"/>
      <c r="S10" s="1">
        <f>SUMPRODUCT(NOT(ISBLANK(S$3:S$3))*(S$3:S$3&lt;$AE$3:$AE$3))</f>
        <v>0</v>
      </c>
      <c r="T10" s="1">
        <f>SUMPRODUCT(NOT(ISBLANK(T$3:T$3))*(T$3:T$3&lt;$AF$3:$AF$3))</f>
        <v>0</v>
      </c>
      <c r="U10" s="1">
        <f>SUMPRODUCT(NOT(ISBLANK(U$3:U$3))*(U$3:U$3&lt;$AG$3:$AG$3))</f>
        <v>0</v>
      </c>
      <c r="V10" s="1">
        <f>SUMPRODUCT(NOT(ISBLANK(V$3:V$3))*(V$3:V$3&lt;$AH$3:$AH$3))</f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 t="s">
        <v>16</v>
      </c>
      <c r="B11" s="1">
        <f>SUMPRODUCT((NOT(ISBLANK(B$3:B$3))*(B$3:B$3&gt;$AC$3:$AC$3))+ISBLANK(B$3:B$3))</f>
        <v>0</v>
      </c>
      <c r="C11" s="1">
        <f>SUMPRODUCT((NOT(ISBLANK(C$3:C$3))*(C$3:C$3&gt;$AD$3:$AD$3))+ISBLANK(C$3:C$3))</f>
        <v>0</v>
      </c>
      <c r="D11" s="1"/>
      <c r="E11" s="1">
        <f>SUMPRODUCT((NOT(ISBLANK(E$3:E$3))*(E$3:E$3&gt;$AE$3:$AE$3))+ISBLANK(E$3:E$3))</f>
        <v>0</v>
      </c>
      <c r="F11" s="1">
        <f>SUMPRODUCT((NOT(ISBLANK(F$3:F$3))*(F$3:F$3&gt;$AF$3:$AF$3))+ISBLANK(F$3:F$3))</f>
        <v>0</v>
      </c>
      <c r="G11" s="1">
        <f>SUMPRODUCT((NOT(ISBLANK(G$3:G$3))*(G$3:G$3&gt;$AG$3:$AG$3))+ISBLANK(G$3:G$3))</f>
        <v>0</v>
      </c>
      <c r="H11" s="1">
        <f>SUMPRODUCT((NOT(ISBLANK(H$3:H$3))*(H$3:H$3&gt;$AH$3:$AH$3))+ISBLANK(H$3:H$3))</f>
        <v>0</v>
      </c>
      <c r="I11" s="1">
        <f>SUMPRODUCT((NOT(ISBLANK(I$3:I$3))*(I$3:I$3&gt;$AC$3:$AC$3))+ISBLANK(I$3:I$3))</f>
        <v>0</v>
      </c>
      <c r="J11" s="1">
        <f>SUMPRODUCT((NOT(ISBLANK(J$3:J$3))*(J$3:J$3&gt;$AD$3:$AD$3))+ISBLANK(J$3:J$3))</f>
        <v>0</v>
      </c>
      <c r="K11" s="1"/>
      <c r="L11" s="1">
        <f>SUMPRODUCT((NOT(ISBLANK(L$3:L$3))*(L$3:L$3&gt;$AE$3:$AE$3))+ISBLANK(L$3:L$3))</f>
        <v>0</v>
      </c>
      <c r="M11" s="1">
        <f>SUMPRODUCT((NOT(ISBLANK(M$3:M$3))*(M$3:M$3&gt;$AF$3:$AF$3))+ISBLANK(M$3:M$3))</f>
        <v>0</v>
      </c>
      <c r="N11" s="1">
        <f>SUMPRODUCT((NOT(ISBLANK(N$3:N$3))*(N$3:N$3&gt;$AG$3:$AG$3))+ISBLANK(N$3:N$3))</f>
        <v>0</v>
      </c>
      <c r="O11" s="1">
        <f>SUMPRODUCT((NOT(ISBLANK(O$3:O$3))*(O$3:O$3&gt;$AH$3:$AH$3))+ISBLANK(O$3:O$3))</f>
        <v>0</v>
      </c>
      <c r="P11" s="1">
        <f>SUMPRODUCT((NOT(ISBLANK(P$3:P$3))*(P$3:P$3&gt;$AC$3:$AC$3))+ISBLANK(P$3:P$3))</f>
        <v>0</v>
      </c>
      <c r="Q11" s="1">
        <f>SUMPRODUCT((NOT(ISBLANK(Q$3:Q$3))*(Q$3:Q$3&gt;$AD$3:$AD$3))+ISBLANK(Q$3:Q$3))</f>
        <v>0</v>
      </c>
      <c r="R11" s="1"/>
      <c r="S11" s="1">
        <f>SUMPRODUCT((NOT(ISBLANK(S$3:S$3))*(S$3:S$3&gt;$AE$3:$AE$3))+ISBLANK(S$3:S$3))</f>
        <v>0</v>
      </c>
      <c r="T11" s="1">
        <f>SUMPRODUCT((NOT(ISBLANK(T$3:T$3))*(T$3:T$3&gt;$AF$3:$AF$3))+ISBLANK(T$3:T$3))</f>
        <v>0</v>
      </c>
      <c r="U11" s="1">
        <f>SUMPRODUCT((NOT(ISBLANK(U$3:U$3))*(U$3:U$3&gt;$AG$3:$AG$3))+ISBLANK(U$3:U$3))</f>
        <v>0</v>
      </c>
      <c r="V11" s="1">
        <f>SUMPRODUCT((NOT(ISBLANK(V$3:V$3))*(V$3:V$3&gt;$AH$3:$AH$3))+ISBLANK(V$3:V$3))</f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" t="s">
        <v>17</v>
      </c>
      <c r="B12" s="1">
        <f>SUMPRODUCT((NOT(ISBLANK(B$3:B$3))*(B$3:B$3=$AI$3:$AI$3))+ISBLANK(B$3:B$3))</f>
        <v>0</v>
      </c>
      <c r="C12" s="1">
        <f>SUMPRODUCT((NOT(ISBLANK(C$3:C$3))*(C$3:C$3=$AJ$3:$AJ$3))+ISBLANK(C$3:C$3))</f>
        <v>0</v>
      </c>
      <c r="D12" s="1"/>
      <c r="E12" s="1">
        <f>SUMPRODUCT((NOT(ISBLANK(E$3:E$3))*(E$3:E$3=$AK$3:$AK$3))+ISBLANK(E$3:E$3))</f>
        <v>0</v>
      </c>
      <c r="F12" s="1">
        <f>SUMPRODUCT((NOT(ISBLANK(F$3:F$3))*(F$3:F$3=$AL$3:$AL$3))+ISBLANK(F$3:F$3))</f>
        <v>0</v>
      </c>
      <c r="G12" s="1">
        <f>SUMPRODUCT((NOT(ISBLANK(G$3:G$3))*(G$3:G$3=$AM$3:$AM$3))+ISBLANK(G$3:G$3))</f>
        <v>0</v>
      </c>
      <c r="H12" s="1">
        <f>SUMPRODUCT((NOT(ISBLANK(H$3:H$3))*(H$3:H$3=$AN$3:$AN$3))+ISBLANK(H$3:H$3))</f>
        <v>0</v>
      </c>
      <c r="I12" s="1">
        <f>SUMPRODUCT((NOT(ISBLANK(I$3:I$3))*(I$3:I$3=$AI$3:$AI$3))+ISBLANK(I$3:I$3))</f>
        <v>0</v>
      </c>
      <c r="J12" s="1">
        <f>SUMPRODUCT((NOT(ISBLANK(J$3:J$3))*(J$3:J$3=$AJ$3:$AJ$3))+ISBLANK(J$3:J$3))</f>
        <v>0</v>
      </c>
      <c r="K12" s="1"/>
      <c r="L12" s="1">
        <f>SUMPRODUCT((NOT(ISBLANK(L$3:L$3))*(L$3:L$3=$AK$3:$AK$3))+ISBLANK(L$3:L$3))</f>
        <v>0</v>
      </c>
      <c r="M12" s="1">
        <f>SUMPRODUCT((NOT(ISBLANK(M$3:M$3))*(M$3:M$3=$AL$3:$AL$3))+ISBLANK(M$3:M$3))</f>
        <v>0</v>
      </c>
      <c r="N12" s="1">
        <f>SUMPRODUCT((NOT(ISBLANK(N$3:N$3))*(N$3:N$3=$AM$3:$AM$3))+ISBLANK(N$3:N$3))</f>
        <v>0</v>
      </c>
      <c r="O12" s="1">
        <f>SUMPRODUCT((NOT(ISBLANK(O$3:O$3))*(O$3:O$3=$AN$3:$AN$3))+ISBLANK(O$3:O$3))</f>
        <v>0</v>
      </c>
      <c r="P12" s="1">
        <f>SUMPRODUCT((NOT(ISBLANK(P$3:P$3))*(P$3:P$3=$AI$3:$AI$3))+ISBLANK(P$3:P$3))</f>
        <v>0</v>
      </c>
      <c r="Q12" s="1">
        <f>SUMPRODUCT((NOT(ISBLANK(Q$3:Q$3))*(Q$3:Q$3=$AJ$3:$AJ$3))+ISBLANK(Q$3:Q$3))</f>
        <v>0</v>
      </c>
      <c r="R12" s="1"/>
      <c r="S12" s="1">
        <f>SUMPRODUCT((NOT(ISBLANK(S$3:S$3))*(S$3:S$3=$AK$3:$AK$3))+ISBLANK(S$3:S$3))</f>
        <v>0</v>
      </c>
      <c r="T12" s="1">
        <f>SUMPRODUCT((NOT(ISBLANK(T$3:T$3))*(T$3:T$3=$AL$3:$AL$3))+ISBLANK(T$3:T$3))</f>
        <v>0</v>
      </c>
      <c r="U12" s="1">
        <f>SUMPRODUCT((NOT(ISBLANK(U$3:U$3))*(U$3:U$3=$AM$3:$AM$3))+ISBLANK(U$3:U$3))</f>
        <v>0</v>
      </c>
      <c r="V12" s="1">
        <f>SUMPRODUCT((NOT(ISBLANK(V$3:V$3))*(V$3:V$3=$AN$3:$AN$3))+ISBLANK(V$3:V$3))</f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2026-02-17T18:41:40Z</dcterms:created>
  <dcterms:modified xsi:type="dcterms:W3CDTF">2026-02-17T18:41:40Z</dcterms:modified>
</cp:coreProperties>
</file>