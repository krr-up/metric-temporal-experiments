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<sst xmlns="http://schemas.openxmlformats.org/spreadsheetml/2006/main" count="145" uniqueCount="26">
  <si>
    <t>instances/size-1</t>
  </si>
  <si>
    <t>instances/size-10</t>
  </si>
  <si>
    <t>instances/size-5</t>
  </si>
  <si>
    <t>instances/size-7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</si>
  <si>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</si>
  <si>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</si>
  <si>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</si>
  <si>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</si>
  <si>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</si>
  <si>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</si>
  <si>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</si>
  <si>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</si>
  <si>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memelingo-1/goal_mlp-tplp-ht</t>
  </si>
  <si>
    <t>time</t>
  </si>
  <si>
    <t>stime</t>
  </si>
  <si>
    <t>status</t>
  </si>
  <si>
    <t>SATISFIABLE</t>
  </si>
  <si>
    <t>rules</t>
  </si>
  <si>
    <t>ctime</t>
  </si>
  <si>
    <t>memelingo-1/goal_mlp-tplp-htc</t>
  </si>
  <si>
    <t>memelingo-1/goal_mlp-tplp-htcdl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</si>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</sst>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8" width="11.42578125" customWidth="1"/>
    <col min="9" max="9" width="11.7109375" customWidth="1"/>
    <col min="10" max="13" width="11.42578125" customWidth="1"/>
    <col min="14" max="14" width="11.7109375" customWidth="1"/>
    <col min="15" max="28" width="11.42578125" customWidth="1"/>
  </cols>
  <sheetData>
    <row r="1" spans="1:28">
      <c r="A1" s="1"/>
      <c r="B1" s="1" t="s">
        <v>12</v>
      </c>
      <c r="C1" s="1"/>
      <c r="D1" s="1"/>
      <c r="E1" s="1"/>
      <c r="F1" s="1"/>
      <c r="G1" s="1" t="s">
        <v>19</v>
      </c>
      <c r="H1" s="1"/>
      <c r="I1" s="1"/>
      <c r="J1" s="1"/>
      <c r="K1" s="1"/>
      <c r="L1" s="1" t="s">
        <v>20</v>
      </c>
      <c r="M1" s="1"/>
      <c r="N1" s="1"/>
      <c r="O1" s="1"/>
      <c r="P1" s="1"/>
      <c r="Q1" s="1" t="s">
        <v>21</v>
      </c>
      <c r="R1" s="1"/>
      <c r="S1" s="1"/>
      <c r="T1" s="1"/>
      <c r="U1" s="1" t="s">
        <v>22</v>
      </c>
      <c r="V1" s="1"/>
      <c r="W1" s="1"/>
      <c r="X1" s="1"/>
      <c r="Y1" s="1" t="s">
        <v>23</v>
      </c>
      <c r="Z1" s="1"/>
      <c r="AA1" s="1"/>
      <c r="AB1" s="1"/>
    </row>
    <row r="2" spans="1:28">
      <c r="A2" s="1"/>
      <c r="B2" s="1" t="s">
        <v>13</v>
      </c>
      <c r="C2" s="1" t="s">
        <v>14</v>
      </c>
      <c r="D2" s="1" t="s">
        <v>15</v>
      </c>
      <c r="E2" s="1" t="s">
        <v>17</v>
      </c>
      <c r="F2" s="1" t="s">
        <v>18</v>
      </c>
      <c r="G2" s="1" t="s">
        <v>13</v>
      </c>
      <c r="H2" s="1" t="s">
        <v>14</v>
      </c>
      <c r="I2" s="1" t="s">
        <v>15</v>
      </c>
      <c r="J2" s="1" t="s">
        <v>17</v>
      </c>
      <c r="K2" s="1" t="s">
        <v>18</v>
      </c>
      <c r="L2" s="1" t="s">
        <v>13</v>
      </c>
      <c r="M2" s="1" t="s">
        <v>14</v>
      </c>
      <c r="N2" s="1" t="s">
        <v>15</v>
      </c>
      <c r="O2" s="1" t="s">
        <v>17</v>
      </c>
      <c r="P2" s="1" t="s">
        <v>18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13</v>
      </c>
      <c r="V2" s="1" t="s">
        <v>14</v>
      </c>
      <c r="W2" s="1" t="s">
        <v>17</v>
      </c>
      <c r="X2" s="1" t="s">
        <v>18</v>
      </c>
      <c r="Y2" s="1" t="s">
        <v>13</v>
      </c>
      <c r="Z2" s="1" t="s">
        <v>14</v>
      </c>
      <c r="AA2" s="1" t="s">
        <v>17</v>
      </c>
      <c r="AB2" s="1" t="s">
        <v>18</v>
      </c>
    </row>
    <row r="3" spans="1:28">
      <c r="A3" s="1" t="s">
        <v>0</v>
      </c>
      <c r="B3" s="1">
        <v>8.06</v>
      </c>
      <c r="C3" s="1">
        <v>0.09</v>
      </c>
      <c r="D3" s="1" t="s">
        <v>16</v>
      </c>
      <c r="E3" s="1">
        <v>376978</v>
      </c>
      <c r="F3" s="1">
        <v>1.865</v>
      </c>
      <c r="G3" s="1">
        <v>6.12</v>
      </c>
      <c r="H3" s="1">
        <v>0</v>
      </c>
      <c r="I3" s="1" t="s">
        <v>16</v>
      </c>
      <c r="J3" s="1">
        <v>2408</v>
      </c>
      <c r="K3" s="1">
        <v>0.208</v>
      </c>
      <c r="L3" s="1">
        <v>5.7</v>
      </c>
      <c r="M3" s="1">
        <v>0</v>
      </c>
      <c r="N3" s="1" t="s">
        <v>16</v>
      </c>
      <c r="O3" s="1">
        <v>2408</v>
      </c>
      <c r="P3" s="1">
        <v>0.198</v>
      </c>
      <c r="Q3" s="1">
        <f>MIN($B3,$G3,$L3)</f>
        <v>0</v>
      </c>
      <c r="R3" s="1">
        <f>MIN($C3,$H3,$M3)</f>
        <v>0</v>
      </c>
      <c r="S3" s="1">
        <f>MIN($E3,$J3,$O3)</f>
        <v>0</v>
      </c>
      <c r="T3" s="1">
        <f>MIN($F3,$K3,$P3)</f>
        <v>0</v>
      </c>
      <c r="U3" s="1">
        <f>MEDIAN($B3,$G3,$L3)</f>
        <v>0</v>
      </c>
      <c r="V3" s="1">
        <f>MEDIAN($C3,$H3,$M3)</f>
        <v>0</v>
      </c>
      <c r="W3" s="1">
        <f>MEDIAN($E3,$J3,$O3)</f>
        <v>0</v>
      </c>
      <c r="X3" s="1">
        <f>MEDIAN($F3,$K3,$P3)</f>
        <v>0</v>
      </c>
      <c r="Y3" s="1">
        <f>MAX($B3,$G3,$L3)</f>
        <v>0</v>
      </c>
      <c r="Z3" s="1">
        <f>MAX($C3,$H3,$M3)</f>
        <v>0</v>
      </c>
      <c r="AA3" s="1">
        <f>MAX($E3,$J3,$O3)</f>
        <v>0</v>
      </c>
      <c r="AB3" s="1">
        <f>MAX($F3,$K3,$P3)</f>
        <v>0</v>
      </c>
    </row>
    <row r="4" spans="1:28">
      <c r="A4" s="1" t="s">
        <v>1</v>
      </c>
      <c r="B4" s="1">
        <v>1200</v>
      </c>
      <c r="C4" s="1"/>
      <c r="D4" s="1"/>
      <c r="E4" s="1"/>
      <c r="F4" s="1"/>
      <c r="G4" s="1">
        <v>6.23</v>
      </c>
      <c r="H4" s="1">
        <v>0.01</v>
      </c>
      <c r="I4" s="1" t="s">
        <v>16</v>
      </c>
      <c r="J4" s="1">
        <v>2408</v>
      </c>
      <c r="K4" s="1">
        <v>0.211</v>
      </c>
      <c r="L4" s="1">
        <v>6.5</v>
      </c>
      <c r="M4" s="1">
        <v>0</v>
      </c>
      <c r="N4" s="1" t="s">
        <v>16</v>
      </c>
      <c r="O4" s="1">
        <v>2408</v>
      </c>
      <c r="P4" s="1">
        <v>0.21</v>
      </c>
      <c r="Q4" s="1">
        <f>MIN($B4,$G4,$L4)</f>
        <v>0</v>
      </c>
      <c r="R4" s="1">
        <f>MIN($C4,$H4,$M4)</f>
        <v>0</v>
      </c>
      <c r="S4" s="1">
        <f>MIN($E4,$J4,$O4)</f>
        <v>0</v>
      </c>
      <c r="T4" s="1">
        <f>MIN($F4,$K4,$P4)</f>
        <v>0</v>
      </c>
      <c r="U4" s="1">
        <f>MEDIAN($B4,$G4,$L4)</f>
        <v>0</v>
      </c>
      <c r="V4" s="1">
        <f>MEDIAN($C4,$H4,$M4)</f>
        <v>0</v>
      </c>
      <c r="W4" s="1">
        <f>MEDIAN($E4,$J4,$O4)</f>
        <v>0</v>
      </c>
      <c r="X4" s="1">
        <f>MEDIAN($F4,$K4,$P4)</f>
        <v>0</v>
      </c>
      <c r="Y4" s="1">
        <f>MAX($B4,$G4,$L4)</f>
        <v>0</v>
      </c>
      <c r="Z4" s="1">
        <f>MAX($C4,$H4,$M4)</f>
        <v>0</v>
      </c>
      <c r="AA4" s="1">
        <f>MAX($E4,$J4,$O4)</f>
        <v>0</v>
      </c>
      <c r="AB4" s="1">
        <f>MAX($F4,$K4,$P4)</f>
        <v>0</v>
      </c>
    </row>
    <row r="5" spans="1:28">
      <c r="A5" s="1" t="s">
        <v>2</v>
      </c>
      <c r="B5" s="1">
        <v>69.09999999999999</v>
      </c>
      <c r="C5" s="1">
        <v>5.83</v>
      </c>
      <c r="D5" s="1" t="s">
        <v>16</v>
      </c>
      <c r="E5" s="1">
        <v>9527538</v>
      </c>
      <c r="F5" s="1">
        <v>61.373</v>
      </c>
      <c r="G5" s="1">
        <v>6.07</v>
      </c>
      <c r="H5" s="1">
        <v>0.01</v>
      </c>
      <c r="I5" s="1" t="s">
        <v>16</v>
      </c>
      <c r="J5" s="1">
        <v>2408</v>
      </c>
      <c r="K5" s="1">
        <v>0.21</v>
      </c>
      <c r="L5" s="1">
        <v>5.86</v>
      </c>
      <c r="M5" s="1">
        <v>0</v>
      </c>
      <c r="N5" s="1" t="s">
        <v>16</v>
      </c>
      <c r="O5" s="1">
        <v>2408</v>
      </c>
      <c r="P5" s="1">
        <v>0.196</v>
      </c>
      <c r="Q5" s="1">
        <f>MIN($B5,$G5,$L5)</f>
        <v>0</v>
      </c>
      <c r="R5" s="1">
        <f>MIN($C5,$H5,$M5)</f>
        <v>0</v>
      </c>
      <c r="S5" s="1">
        <f>MIN($E5,$J5,$O5)</f>
        <v>0</v>
      </c>
      <c r="T5" s="1">
        <f>MIN($F5,$K5,$P5)</f>
        <v>0</v>
      </c>
      <c r="U5" s="1">
        <f>MEDIAN($B5,$G5,$L5)</f>
        <v>0</v>
      </c>
      <c r="V5" s="1">
        <f>MEDIAN($C5,$H5,$M5)</f>
        <v>0</v>
      </c>
      <c r="W5" s="1">
        <f>MEDIAN($E5,$J5,$O5)</f>
        <v>0</v>
      </c>
      <c r="X5" s="1">
        <f>MEDIAN($F5,$K5,$P5)</f>
        <v>0</v>
      </c>
      <c r="Y5" s="1">
        <f>MAX($B5,$G5,$L5)</f>
        <v>0</v>
      </c>
      <c r="Z5" s="1">
        <f>MAX($C5,$H5,$M5)</f>
        <v>0</v>
      </c>
      <c r="AA5" s="1">
        <f>MAX($E5,$J5,$O5)</f>
        <v>0</v>
      </c>
      <c r="AB5" s="1">
        <f>MAX($F5,$K5,$P5)</f>
        <v>0</v>
      </c>
    </row>
    <row r="6" spans="1:28">
      <c r="A6" s="1" t="s">
        <v>3</v>
      </c>
      <c r="B6" s="1">
        <v>150.47</v>
      </c>
      <c r="C6" s="1">
        <v>15.93</v>
      </c>
      <c r="D6" s="1" t="s">
        <v>16</v>
      </c>
      <c r="E6" s="1">
        <v>18694018</v>
      </c>
      <c r="F6" s="1">
        <v>142.235</v>
      </c>
      <c r="G6" s="1">
        <v>5.73</v>
      </c>
      <c r="H6" s="1">
        <v>0.01</v>
      </c>
      <c r="I6" s="1" t="s">
        <v>16</v>
      </c>
      <c r="J6" s="1">
        <v>2408</v>
      </c>
      <c r="K6" s="1">
        <v>0.202</v>
      </c>
      <c r="L6" s="1">
        <v>5.9</v>
      </c>
      <c r="M6" s="1">
        <v>0</v>
      </c>
      <c r="N6" s="1" t="s">
        <v>16</v>
      </c>
      <c r="O6" s="1">
        <v>2408</v>
      </c>
      <c r="P6" s="1">
        <v>0.205</v>
      </c>
      <c r="Q6" s="1">
        <f>MIN($B6,$G6,$L6)</f>
        <v>0</v>
      </c>
      <c r="R6" s="1">
        <f>MIN($C6,$H6,$M6)</f>
        <v>0</v>
      </c>
      <c r="S6" s="1">
        <f>MIN($E6,$J6,$O6)</f>
        <v>0</v>
      </c>
      <c r="T6" s="1">
        <f>MIN($F6,$K6,$P6)</f>
        <v>0</v>
      </c>
      <c r="U6" s="1">
        <f>MEDIAN($B6,$G6,$L6)</f>
        <v>0</v>
      </c>
      <c r="V6" s="1">
        <f>MEDIAN($C6,$H6,$M6)</f>
        <v>0</v>
      </c>
      <c r="W6" s="1">
        <f>MEDIAN($E6,$J6,$O6)</f>
        <v>0</v>
      </c>
      <c r="X6" s="1">
        <f>MEDIAN($F6,$K6,$P6)</f>
        <v>0</v>
      </c>
      <c r="Y6" s="1">
        <f>MAX($B6,$G6,$L6)</f>
        <v>0</v>
      </c>
      <c r="Z6" s="1">
        <f>MAX($C6,$H6,$M6)</f>
        <v>0</v>
      </c>
      <c r="AA6" s="1">
        <f>MAX($E6,$J6,$O6)</f>
        <v>0</v>
      </c>
      <c r="AB6" s="1">
        <f>MAX($F6,$K6,$P6)</f>
        <v>0</v>
      </c>
    </row>
    <row r="7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>
        <f>SUM(H$3:H$6)</f>
        <v>0</v>
      </c>
      <c r="I8" s="1"/>
      <c r="J8" s="1">
        <f>SUM(J$3:J$6)</f>
        <v>0</v>
      </c>
      <c r="K8" s="1">
        <f>SUM(K$3:K$6)</f>
        <v>0</v>
      </c>
      <c r="L8" s="1">
        <f>SUM(L$3:L$6)</f>
        <v>0</v>
      </c>
      <c r="M8" s="1">
        <f>SUM(M$3:M$6)</f>
        <v>0</v>
      </c>
      <c r="N8" s="1"/>
      <c r="O8" s="1">
        <f>SUM(O$3:O$6)</f>
        <v>0</v>
      </c>
      <c r="P8" s="1">
        <f>SUM(P$3:P$6)</f>
        <v>0</v>
      </c>
      <c r="Q8" s="1">
        <f>SUM(Q$3:Q$6)</f>
        <v>0</v>
      </c>
      <c r="R8" s="1">
        <f>SUM(R$3:R$6)</f>
        <v>0</v>
      </c>
      <c r="S8" s="1">
        <f>SUM(S$3:S$6)</f>
        <v>0</v>
      </c>
      <c r="T8" s="1">
        <f>SUM(T$3:T$6)</f>
        <v>0</v>
      </c>
      <c r="U8" s="1">
        <f>SUM(U$3:U$6)</f>
        <v>0</v>
      </c>
      <c r="V8" s="1">
        <f>SUM(V$3:V$6)</f>
        <v>0</v>
      </c>
      <c r="W8" s="1">
        <f>SUM(W$3:W$6)</f>
        <v>0</v>
      </c>
      <c r="X8" s="1">
        <f>SUM(X$3:X$6)</f>
        <v>0</v>
      </c>
      <c r="Y8" s="1">
        <f>SUM(Y$3:Y$6)</f>
        <v>0</v>
      </c>
      <c r="Z8" s="1">
        <f>SUM(Z$3:Z$6)</f>
        <v>0</v>
      </c>
      <c r="AA8" s="1">
        <f>SUM(AA$3:AA$6)</f>
        <v>0</v>
      </c>
      <c r="AB8" s="1">
        <f>SUM(AB$3:AB$6)</f>
        <v>0</v>
      </c>
    </row>
    <row r="9" spans="1:28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>
        <f>AVERAGE(H$3:H$6)</f>
        <v>0</v>
      </c>
      <c r="I9" s="1"/>
      <c r="J9" s="1">
        <f>AVERAGE(J$3:J$6)</f>
        <v>0</v>
      </c>
      <c r="K9" s="1">
        <f>AVERAGE(K$3:K$6)</f>
        <v>0</v>
      </c>
      <c r="L9" s="1">
        <f>AVERAGE(L$3:L$6)</f>
        <v>0</v>
      </c>
      <c r="M9" s="1">
        <f>AVERAGE(M$3:M$6)</f>
        <v>0</v>
      </c>
      <c r="N9" s="1"/>
      <c r="O9" s="1">
        <f>AVERAGE(O$3:O$6)</f>
        <v>0</v>
      </c>
      <c r="P9" s="1">
        <f>AVERAGE(P$3:P$6)</f>
        <v>0</v>
      </c>
      <c r="Q9" s="1">
        <f>AVERAGE(Q$3:Q$6)</f>
        <v>0</v>
      </c>
      <c r="R9" s="1">
        <f>AVERAGE(R$3:R$6)</f>
        <v>0</v>
      </c>
      <c r="S9" s="1">
        <f>AVERAGE(S$3:S$6)</f>
        <v>0</v>
      </c>
      <c r="T9" s="1">
        <f>AVERAGE(T$3:T$6)</f>
        <v>0</v>
      </c>
      <c r="U9" s="1">
        <f>AVERAGE(U$3:U$6)</f>
        <v>0</v>
      </c>
      <c r="V9" s="1">
        <f>AVERAGE(V$3:V$6)</f>
        <v>0</v>
      </c>
      <c r="W9" s="1">
        <f>AVERAGE(W$3:W$6)</f>
        <v>0</v>
      </c>
      <c r="X9" s="1">
        <f>AVERAGE(X$3:X$6)</f>
        <v>0</v>
      </c>
      <c r="Y9" s="1">
        <f>AVERAGE(Y$3:Y$6)</f>
        <v>0</v>
      </c>
      <c r="Z9" s="1">
        <f>AVERAGE(Z$3:Z$6)</f>
        <v>0</v>
      </c>
      <c r="AA9" s="1">
        <f>AVERAGE(AA$3:AA$6)</f>
        <v>0</v>
      </c>
      <c r="AB9" s="1">
        <f>AVERAGE(AB$3:AB$6)</f>
        <v>0</v>
      </c>
    </row>
    <row r="10" spans="1:28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>
        <f>STDEV(H$3:H$6)</f>
        <v>0</v>
      </c>
      <c r="I10" s="1"/>
      <c r="J10" s="1">
        <f>STDEV(J$3:J$6)</f>
        <v>0</v>
      </c>
      <c r="K10" s="1">
        <f>STDEV(K$3:K$6)</f>
        <v>0</v>
      </c>
      <c r="L10" s="1">
        <f>STDEV(L$3:L$6)</f>
        <v>0</v>
      </c>
      <c r="M10" s="1">
        <f>STDEV(M$3:M$6)</f>
        <v>0</v>
      </c>
      <c r="N10" s="1"/>
      <c r="O10" s="1">
        <f>STDEV(O$3:O$6)</f>
        <v>0</v>
      </c>
      <c r="P10" s="1">
        <f>STDEV(P$3:P$6)</f>
        <v>0</v>
      </c>
      <c r="Q10" s="1">
        <f>STDEV(Q$3:Q$6)</f>
        <v>0</v>
      </c>
      <c r="R10" s="1">
        <f>STDEV(R$3:R$6)</f>
        <v>0</v>
      </c>
      <c r="S10" s="1">
        <f>STDEV(S$3:S$6)</f>
        <v>0</v>
      </c>
      <c r="T10" s="1">
        <f>STDEV(T$3:T$6)</f>
        <v>0</v>
      </c>
      <c r="U10" s="1">
        <f>STDEV(U$3:U$6)</f>
        <v>0</v>
      </c>
      <c r="V10" s="1">
        <f>STDEV(V$3:V$6)</f>
        <v>0</v>
      </c>
      <c r="W10" s="1">
        <f>STDEV(W$3:W$6)</f>
        <v>0</v>
      </c>
      <c r="X10" s="1">
        <f>STDEV(X$3:X$6)</f>
        <v>0</v>
      </c>
      <c r="Y10" s="1">
        <f>STDEV(Y$3:Y$6)</f>
        <v>0</v>
      </c>
      <c r="Z10" s="1">
        <f>STDEV(Z$3:Z$6)</f>
        <v>0</v>
      </c>
      <c r="AA10" s="1">
        <f>STDEV(AA$3:AA$6)</f>
        <v>0</v>
      </c>
      <c r="AB10" s="1">
        <f>STDEV(AB$3:AB$6)</f>
        <v>0</v>
      </c>
    </row>
    <row r="11" spans="1:28">
      <c r="A11" s="1" t="s">
        <v>7</v>
      </c>
      <c r="B11" s="1">
        <f>SUMPRODUCT(--(B$3:B$6-$Q$3:$Q$6)^2)^0.5</f>
        <v>0</v>
      </c>
      <c r="C11" s="1">
        <f>SUMPRODUCT(--(C$3:C$6-$R$3:$R$6)^2)^0.5</f>
        <v>0</v>
      </c>
      <c r="D11" s="1"/>
      <c r="E11" s="1">
        <f>SUMPRODUCT(--(E$3:E$6-$S$3:$S$6)^2)^0.5</f>
        <v>0</v>
      </c>
      <c r="F11" s="1">
        <f>SUMPRODUCT(--(F$3:F$6-$T$3:$T$6)^2)^0.5</f>
        <v>0</v>
      </c>
      <c r="G11" s="1">
        <f>SUMPRODUCT(--(G$3:G$6-$Q$3:$Q$6)^2)^0.5</f>
        <v>0</v>
      </c>
      <c r="H11" s="1">
        <f>SUMPRODUCT(--(H$3:H$6-$R$3:$R$6)^2)^0.5</f>
        <v>0</v>
      </c>
      <c r="I11" s="1"/>
      <c r="J11" s="1">
        <f>SUMPRODUCT(--(J$3:J$6-$S$3:$S$6)^2)^0.5</f>
        <v>0</v>
      </c>
      <c r="K11" s="1">
        <f>SUMPRODUCT(--(K$3:K$6-$T$3:$T$6)^2)^0.5</f>
        <v>0</v>
      </c>
      <c r="L11" s="1">
        <f>SUMPRODUCT(--(L$3:L$6-$Q$3:$Q$6)^2)^0.5</f>
        <v>0</v>
      </c>
      <c r="M11" s="1">
        <f>SUMPRODUCT(--(M$3:M$6-$R$3:$R$6)^2)^0.5</f>
        <v>0</v>
      </c>
      <c r="N11" s="1"/>
      <c r="O11" s="1">
        <f>SUMPRODUCT(--(O$3:O$6-$S$3:$S$6)^2)^0.5</f>
        <v>0</v>
      </c>
      <c r="P11" s="1">
        <f>SUMPRODUCT(--(P$3:P$6-$T$3:$T$6)^2)^0.5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8</v>
      </c>
      <c r="B12" s="1">
        <f>SUMPRODUCT(NOT(ISBLANK(B$3:B$6))*(B$3:B$6=$Q$3:$Q$6))</f>
        <v>0</v>
      </c>
      <c r="C12" s="1">
        <f>SUMPRODUCT(NOT(ISBLANK(C$3:C$6))*(C$3:C$6=$R$3:$R$6))</f>
        <v>0</v>
      </c>
      <c r="D12" s="1"/>
      <c r="E12" s="1">
        <f>SUMPRODUCT(NOT(ISBLANK(E$3:E$6))*(E$3:E$6=$S$3:$S$6))</f>
        <v>0</v>
      </c>
      <c r="F12" s="1">
        <f>SUMPRODUCT(NOT(ISBLANK(F$3:F$6))*(F$3:F$6=$T$3:$T$6))</f>
        <v>0</v>
      </c>
      <c r="G12" s="1">
        <f>SUMPRODUCT(NOT(ISBLANK(G$3:G$6))*(G$3:G$6=$Q$3:$Q$6))</f>
        <v>0</v>
      </c>
      <c r="H12" s="1">
        <f>SUMPRODUCT(NOT(ISBLANK(H$3:H$6))*(H$3:H$6=$R$3:$R$6))</f>
        <v>0</v>
      </c>
      <c r="I12" s="1"/>
      <c r="J12" s="1">
        <f>SUMPRODUCT(NOT(ISBLANK(J$3:J$6))*(J$3:J$6=$S$3:$S$6))</f>
        <v>0</v>
      </c>
      <c r="K12" s="1">
        <f>SUMPRODUCT(NOT(ISBLANK(K$3:K$6))*(K$3:K$6=$T$3:$T$6))</f>
        <v>0</v>
      </c>
      <c r="L12" s="1">
        <f>SUMPRODUCT(NOT(ISBLANK(L$3:L$6))*(L$3:L$6=$Q$3:$Q$6))</f>
        <v>0</v>
      </c>
      <c r="M12" s="1">
        <f>SUMPRODUCT(NOT(ISBLANK(M$3:M$6))*(M$3:M$6=$R$3:$R$6))</f>
        <v>0</v>
      </c>
      <c r="N12" s="1"/>
      <c r="O12" s="1">
        <f>SUMPRODUCT(NOT(ISBLANK(O$3:O$6))*(O$3:O$6=$S$3:$S$6))</f>
        <v>0</v>
      </c>
      <c r="P12" s="1">
        <f>SUMPRODUCT(NOT(ISBLANK(P$3:P$6))*(P$3:P$6=$T$3:$T$6))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1" t="s">
        <v>9</v>
      </c>
      <c r="B13" s="1">
        <f>SUMPRODUCT(NOT(ISBLANK(B$3:B$6))*(B$3:B$6&lt;$U$3:$U$6))</f>
        <v>0</v>
      </c>
      <c r="C13" s="1">
        <f>SUMPRODUCT(NOT(ISBLANK(C$3:C$6))*(C$3:C$6&lt;$V$3:$V$6))</f>
        <v>0</v>
      </c>
      <c r="D13" s="1"/>
      <c r="E13" s="1">
        <f>SUMPRODUCT(NOT(ISBLANK(E$3:E$6))*(E$3:E$6&lt;$W$3:$W$6))</f>
        <v>0</v>
      </c>
      <c r="F13" s="1">
        <f>SUMPRODUCT(NOT(ISBLANK(F$3:F$6))*(F$3:F$6&lt;$X$3:$X$6))</f>
        <v>0</v>
      </c>
      <c r="G13" s="1">
        <f>SUMPRODUCT(NOT(ISBLANK(G$3:G$6))*(G$3:G$6&lt;$U$3:$U$6))</f>
        <v>0</v>
      </c>
      <c r="H13" s="1">
        <f>SUMPRODUCT(NOT(ISBLANK(H$3:H$6))*(H$3:H$6&lt;$V$3:$V$6))</f>
        <v>0</v>
      </c>
      <c r="I13" s="1"/>
      <c r="J13" s="1">
        <f>SUMPRODUCT(NOT(ISBLANK(J$3:J$6))*(J$3:J$6&lt;$W$3:$W$6))</f>
        <v>0</v>
      </c>
      <c r="K13" s="1">
        <f>SUMPRODUCT(NOT(ISBLANK(K$3:K$6))*(K$3:K$6&lt;$X$3:$X$6))</f>
        <v>0</v>
      </c>
      <c r="L13" s="1">
        <f>SUMPRODUCT(NOT(ISBLANK(L$3:L$6))*(L$3:L$6&lt;$U$3:$U$6))</f>
        <v>0</v>
      </c>
      <c r="M13" s="1">
        <f>SUMPRODUCT(NOT(ISBLANK(M$3:M$6))*(M$3:M$6&lt;$V$3:$V$6))</f>
        <v>0</v>
      </c>
      <c r="N13" s="1"/>
      <c r="O13" s="1">
        <f>SUMPRODUCT(NOT(ISBLANK(O$3:O$6))*(O$3:O$6&lt;$W$3:$W$6))</f>
        <v>0</v>
      </c>
      <c r="P13" s="1">
        <f>SUMPRODUCT(NOT(ISBLANK(P$3:P$6))*(P$3:P$6&lt;$X$3:$X$6))</f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1" t="s">
        <v>10</v>
      </c>
      <c r="B14" s="1">
        <f>SUMPRODUCT((NOT(ISBLANK(B$3:B$6))*(B$3:B$6&gt;$U$3:$U$6))+ISBLANK(B$3:B$6))</f>
        <v>0</v>
      </c>
      <c r="C14" s="1">
        <f>SUMPRODUCT((NOT(ISBLANK(C$3:C$6))*(C$3:C$6&gt;$V$3:$V$6))+ISBLANK(C$3:C$6))</f>
        <v>0</v>
      </c>
      <c r="D14" s="1"/>
      <c r="E14" s="1">
        <f>SUMPRODUCT((NOT(ISBLANK(E$3:E$6))*(E$3:E$6&gt;$W$3:$W$6))+ISBLANK(E$3:E$6))</f>
        <v>0</v>
      </c>
      <c r="F14" s="1">
        <f>SUMPRODUCT((NOT(ISBLANK(F$3:F$6))*(F$3:F$6&gt;$X$3:$X$6))+ISBLANK(F$3:F$6))</f>
        <v>0</v>
      </c>
      <c r="G14" s="1">
        <f>SUMPRODUCT((NOT(ISBLANK(G$3:G$6))*(G$3:G$6&gt;$U$3:$U$6))+ISBLANK(G$3:G$6))</f>
        <v>0</v>
      </c>
      <c r="H14" s="1">
        <f>SUMPRODUCT((NOT(ISBLANK(H$3:H$6))*(H$3:H$6&gt;$V$3:$V$6))+ISBLANK(H$3:H$6))</f>
        <v>0</v>
      </c>
      <c r="I14" s="1"/>
      <c r="J14" s="1">
        <f>SUMPRODUCT((NOT(ISBLANK(J$3:J$6))*(J$3:J$6&gt;$W$3:$W$6))+ISBLANK(J$3:J$6))</f>
        <v>0</v>
      </c>
      <c r="K14" s="1">
        <f>SUMPRODUCT((NOT(ISBLANK(K$3:K$6))*(K$3:K$6&gt;$X$3:$X$6))+ISBLANK(K$3:K$6))</f>
        <v>0</v>
      </c>
      <c r="L14" s="1">
        <f>SUMPRODUCT((NOT(ISBLANK(L$3:L$6))*(L$3:L$6&gt;$U$3:$U$6))+ISBLANK(L$3:L$6))</f>
        <v>0</v>
      </c>
      <c r="M14" s="1">
        <f>SUMPRODUCT((NOT(ISBLANK(M$3:M$6))*(M$3:M$6&gt;$V$3:$V$6))+ISBLANK(M$3:M$6))</f>
        <v>0</v>
      </c>
      <c r="N14" s="1"/>
      <c r="O14" s="1">
        <f>SUMPRODUCT((NOT(ISBLANK(O$3:O$6))*(O$3:O$6&gt;$W$3:$W$6))+ISBLANK(O$3:O$6))</f>
        <v>0</v>
      </c>
      <c r="P14" s="1">
        <f>SUMPRODUCT((NOT(ISBLANK(P$3:P$6))*(P$3:P$6&gt;$X$3:$X$6))+ISBLANK(P$3:P$6))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" t="s">
        <v>11</v>
      </c>
      <c r="B15" s="1">
        <f>SUMPRODUCT((NOT(ISBLANK(B$3:B$6))*(B$3:B$6=$Y$3:$Y$6))+ISBLANK(B$3:B$6))</f>
        <v>0</v>
      </c>
      <c r="C15" s="1">
        <f>SUMPRODUCT((NOT(ISBLANK(C$3:C$6))*(C$3:C$6=$Z$3:$Z$6))+ISBLANK(C$3:C$6))</f>
        <v>0</v>
      </c>
      <c r="D15" s="1"/>
      <c r="E15" s="1">
        <f>SUMPRODUCT((NOT(ISBLANK(E$3:E$6))*(E$3:E$6=$AA$3:$AA$6))+ISBLANK(E$3:E$6))</f>
        <v>0</v>
      </c>
      <c r="F15" s="1">
        <f>SUMPRODUCT((NOT(ISBLANK(F$3:F$6))*(F$3:F$6=$AB$3:$AB$6))+ISBLANK(F$3:F$6))</f>
        <v>0</v>
      </c>
      <c r="G15" s="1">
        <f>SUMPRODUCT((NOT(ISBLANK(G$3:G$6))*(G$3:G$6=$Y$3:$Y$6))+ISBLANK(G$3:G$6))</f>
        <v>0</v>
      </c>
      <c r="H15" s="1">
        <f>SUMPRODUCT((NOT(ISBLANK(H$3:H$6))*(H$3:H$6=$Z$3:$Z$6))+ISBLANK(H$3:H$6))</f>
        <v>0</v>
      </c>
      <c r="I15" s="1"/>
      <c r="J15" s="1">
        <f>SUMPRODUCT((NOT(ISBLANK(J$3:J$6))*(J$3:J$6=$AA$3:$AA$6))+ISBLANK(J$3:J$6))</f>
        <v>0</v>
      </c>
      <c r="K15" s="1">
        <f>SUMPRODUCT((NOT(ISBLANK(K$3:K$6))*(K$3:K$6=$AB$3:$AB$6))+ISBLANK(K$3:K$6))</f>
        <v>0</v>
      </c>
      <c r="L15" s="1">
        <f>SUMPRODUCT((NOT(ISBLANK(L$3:L$6))*(L$3:L$6=$Y$3:$Y$6))+ISBLANK(L$3:L$6))</f>
        <v>0</v>
      </c>
      <c r="M15" s="1">
        <f>SUMPRODUCT((NOT(ISBLANK(M$3:M$6))*(M$3:M$6=$Z$3:$Z$6))+ISBLANK(M$3:M$6))</f>
        <v>0</v>
      </c>
      <c r="N15" s="1"/>
      <c r="O15" s="1">
        <f>SUMPRODUCT((NOT(ISBLANK(O$3:O$6))*(O$3:O$6=$AA$3:$AA$6))+ISBLANK(O$3:O$6))</f>
        <v>0</v>
      </c>
      <c r="P15" s="1">
        <f>SUMPRODUCT((NOT(ISBLANK(P$3:P$6))*(P$3:P$6=$AB$3:$AB$6))+ISBLANK(P$3:P$6))</f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28" width="11.42578125" customWidth="1"/>
  </cols>
  <sheetData>
    <row r="1" spans="1:28">
      <c r="A1" s="1" t="s">
        <v>24</v>
      </c>
      <c r="B1" s="1" t="s">
        <v>12</v>
      </c>
      <c r="C1" s="1"/>
      <c r="D1" s="1"/>
      <c r="E1" s="1"/>
      <c r="F1" s="1"/>
      <c r="G1" s="1" t="s">
        <v>19</v>
      </c>
      <c r="H1" s="1"/>
      <c r="I1" s="1"/>
      <c r="J1" s="1"/>
      <c r="K1" s="1"/>
      <c r="L1" s="1" t="s">
        <v>20</v>
      </c>
      <c r="M1" s="1"/>
      <c r="N1" s="1"/>
      <c r="O1" s="1"/>
      <c r="P1" s="1"/>
      <c r="Q1" s="1" t="s">
        <v>21</v>
      </c>
      <c r="R1" s="1"/>
      <c r="S1" s="1"/>
      <c r="T1" s="1"/>
      <c r="U1" s="1" t="s">
        <v>22</v>
      </c>
      <c r="V1" s="1"/>
      <c r="W1" s="1"/>
      <c r="X1" s="1"/>
      <c r="Y1" s="1" t="s">
        <v>23</v>
      </c>
      <c r="Z1" s="1"/>
      <c r="AA1" s="1"/>
      <c r="AB1" s="1"/>
    </row>
    <row r="2" spans="1:28">
      <c r="A2" s="2" t="s">
        <v>22</v>
      </c>
      <c r="B2" s="1" t="s">
        <v>13</v>
      </c>
      <c r="C2" s="1" t="s">
        <v>14</v>
      </c>
      <c r="D2" s="1" t="s">
        <v>15</v>
      </c>
      <c r="E2" s="1" t="s">
        <v>17</v>
      </c>
      <c r="F2" s="1" t="s">
        <v>18</v>
      </c>
      <c r="G2" s="1" t="s">
        <v>13</v>
      </c>
      <c r="H2" s="1" t="s">
        <v>14</v>
      </c>
      <c r="I2" s="1" t="s">
        <v>15</v>
      </c>
      <c r="J2" s="1" t="s">
        <v>17</v>
      </c>
      <c r="K2" s="1" t="s">
        <v>18</v>
      </c>
      <c r="L2" s="1" t="s">
        <v>13</v>
      </c>
      <c r="M2" s="1" t="s">
        <v>14</v>
      </c>
      <c r="N2" s="1" t="s">
        <v>15</v>
      </c>
      <c r="O2" s="1" t="s">
        <v>17</v>
      </c>
      <c r="P2" s="1" t="s">
        <v>18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13</v>
      </c>
      <c r="V2" s="1" t="s">
        <v>14</v>
      </c>
      <c r="W2" s="1" t="s">
        <v>17</v>
      </c>
      <c r="X2" s="1" t="s">
        <v>18</v>
      </c>
      <c r="Y2" s="1" t="s">
        <v>13</v>
      </c>
      <c r="Z2" s="1" t="s">
        <v>14</v>
      </c>
      <c r="AA2" s="1" t="s">
        <v>17</v>
      </c>
      <c r="AB2" s="1" t="s">
        <v>18</v>
      </c>
    </row>
    <row r="3" spans="1:28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/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/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>
        <f>MIN($B3,$G3,$L3)</f>
        <v>0</v>
      </c>
      <c r="R3" s="1">
        <f>MIN($C3,$H3,$M3)</f>
        <v>0</v>
      </c>
      <c r="S3" s="1">
        <f>MIN($E3,$J3,$O3)</f>
        <v>0</v>
      </c>
      <c r="T3" s="1">
        <f>MIN($F3,$K3,$P3)</f>
        <v>0</v>
      </c>
      <c r="U3" s="1">
        <f>MEDIAN($B3,$G3,$L3)</f>
        <v>0</v>
      </c>
      <c r="V3" s="1">
        <f>MEDIAN($C3,$H3,$M3)</f>
        <v>0</v>
      </c>
      <c r="W3" s="1">
        <f>MEDIAN($E3,$J3,$O3)</f>
        <v>0</v>
      </c>
      <c r="X3" s="1">
        <f>MEDIAN($F3,$K3,$P3)</f>
        <v>0</v>
      </c>
      <c r="Y3" s="1">
        <f>MAX($B3,$G3,$L3)</f>
        <v>0</v>
      </c>
      <c r="Z3" s="1">
        <f>MAX($C3,$H3,$M3)</f>
        <v>0</v>
      </c>
      <c r="AA3" s="1">
        <f>MAX($E3,$J3,$O3)</f>
        <v>0</v>
      </c>
      <c r="AB3" s="1">
        <f>MAX($F3,$K3,$P3)</f>
        <v>0</v>
      </c>
    </row>
    <row r="4" spans="1:28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/>
      <c r="D4" s="1"/>
      <c r="E4" s="1"/>
      <c r="F4" s="1"/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/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>
        <f>MIN($B4,$G4,$L4)</f>
        <v>0</v>
      </c>
      <c r="R4" s="1">
        <f>MIN($C4,$H4,$M4)</f>
        <v>0</v>
      </c>
      <c r="S4" s="1">
        <f>MIN($E4,$J4,$O4)</f>
        <v>0</v>
      </c>
      <c r="T4" s="1">
        <f>MIN($F4,$K4,$P4)</f>
        <v>0</v>
      </c>
      <c r="U4" s="1">
        <f>MEDIAN($B4,$G4,$L4)</f>
        <v>0</v>
      </c>
      <c r="V4" s="1">
        <f>MEDIAN($C4,$H4,$M4)</f>
        <v>0</v>
      </c>
      <c r="W4" s="1">
        <f>MEDIAN($E4,$J4,$O4)</f>
        <v>0</v>
      </c>
      <c r="X4" s="1">
        <f>MEDIAN($F4,$K4,$P4)</f>
        <v>0</v>
      </c>
      <c r="Y4" s="1">
        <f>MAX($B4,$G4,$L4)</f>
        <v>0</v>
      </c>
      <c r="Z4" s="1">
        <f>MAX($C4,$H4,$M4)</f>
        <v>0</v>
      </c>
      <c r="AA4" s="1">
        <f>MAX($E4,$J4,$O4)</f>
        <v>0</v>
      </c>
      <c r="AB4" s="1">
        <f>MAX($F4,$K4,$P4)</f>
        <v>0</v>
      </c>
    </row>
    <row r="5" spans="1:28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/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 cm="1">
        <f t="array" ref="L5">_xlfn.SWITCH($A$2,"average", AVERAGE(Instances!L5:Instances!L5),"median", MEDIAN(Instances!L5:Instances!L5),"min", MIN(Instances!L5:Instances!L5),"max", MAX(Instances!L5:Instances!L5),"diff", MAX(Instances!L5:Instances!L5)-MIN(Instances!L5:Instances!L5))</f>
        <v>0</v>
      </c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>
        <f>MIN($B5,$G5,$L5)</f>
        <v>0</v>
      </c>
      <c r="R5" s="1">
        <f>MIN($C5,$H5,$M5)</f>
        <v>0</v>
      </c>
      <c r="S5" s="1">
        <f>MIN($E5,$J5,$O5)</f>
        <v>0</v>
      </c>
      <c r="T5" s="1">
        <f>MIN($F5,$K5,$P5)</f>
        <v>0</v>
      </c>
      <c r="U5" s="1">
        <f>MEDIAN($B5,$G5,$L5)</f>
        <v>0</v>
      </c>
      <c r="V5" s="1">
        <f>MEDIAN($C5,$H5,$M5)</f>
        <v>0</v>
      </c>
      <c r="W5" s="1">
        <f>MEDIAN($E5,$J5,$O5)</f>
        <v>0</v>
      </c>
      <c r="X5" s="1">
        <f>MEDIAN($F5,$K5,$P5)</f>
        <v>0</v>
      </c>
      <c r="Y5" s="1">
        <f>MAX($B5,$G5,$L5)</f>
        <v>0</v>
      </c>
      <c r="Z5" s="1">
        <f>MAX($C5,$H5,$M5)</f>
        <v>0</v>
      </c>
      <c r="AA5" s="1">
        <f>MAX($E5,$J5,$O5)</f>
        <v>0</v>
      </c>
      <c r="AB5" s="1">
        <f>MAX($F5,$K5,$P5)</f>
        <v>0</v>
      </c>
    </row>
    <row r="6" spans="1:28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/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 cm="1">
        <f t="array" ref="L6">_xlfn.SWITCH($A$2,"average", AVERAGE(Instances!L6:Instances!L6),"median", MEDIAN(Instances!L6:Instances!L6),"min", MIN(Instances!L6:Instances!L6),"max", MAX(Instances!L6:Instances!L6),"diff", MAX(Instances!L6:Instances!L6)-MIN(Instances!L6:Instances!L6))</f>
        <v>0</v>
      </c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/>
      <c r="O6" s="1" cm="1">
        <f t="array" ref="O6">_xlfn.SWITCH($A$2,"average", AVERAGE(Instances!O6:Instances!O6),"median", MEDIAN(Instances!O6:Instances!O6),"min", MIN(Instances!O6:Instances!O6),"max", MAX(Instances!O6:Instances!O6),"diff", MAX(Instances!O6:Instances!O6)-MIN(Instances!O6:Instances!O6))</f>
        <v>0</v>
      </c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>
        <f>MIN($B6,$G6,$L6)</f>
        <v>0</v>
      </c>
      <c r="R6" s="1">
        <f>MIN($C6,$H6,$M6)</f>
        <v>0</v>
      </c>
      <c r="S6" s="1">
        <f>MIN($E6,$J6,$O6)</f>
        <v>0</v>
      </c>
      <c r="T6" s="1">
        <f>MIN($F6,$K6,$P6)</f>
        <v>0</v>
      </c>
      <c r="U6" s="1">
        <f>MEDIAN($B6,$G6,$L6)</f>
        <v>0</v>
      </c>
      <c r="V6" s="1">
        <f>MEDIAN($C6,$H6,$M6)</f>
        <v>0</v>
      </c>
      <c r="W6" s="1">
        <f>MEDIAN($E6,$J6,$O6)</f>
        <v>0</v>
      </c>
      <c r="X6" s="1">
        <f>MEDIAN($F6,$K6,$P6)</f>
        <v>0</v>
      </c>
      <c r="Y6" s="1">
        <f>MAX($B6,$G6,$L6)</f>
        <v>0</v>
      </c>
      <c r="Z6" s="1">
        <f>MAX($C6,$H6,$M6)</f>
        <v>0</v>
      </c>
      <c r="AA6" s="1">
        <f>MAX($E6,$J6,$O6)</f>
        <v>0</v>
      </c>
      <c r="AB6" s="1">
        <f>MAX($F6,$K6,$P6)</f>
        <v>0</v>
      </c>
    </row>
    <row r="7" spans="1:28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>
        <f>SUM(H$3:H$6)</f>
        <v>0</v>
      </c>
      <c r="I8" s="1"/>
      <c r="J8" s="1">
        <f>SUM(J$3:J$6)</f>
        <v>0</v>
      </c>
      <c r="K8" s="1">
        <f>SUM(K$3:K$6)</f>
        <v>0</v>
      </c>
      <c r="L8" s="1">
        <f>SUM(L$3:L$6)</f>
        <v>0</v>
      </c>
      <c r="M8" s="1">
        <f>SUM(M$3:M$6)</f>
        <v>0</v>
      </c>
      <c r="N8" s="1"/>
      <c r="O8" s="1">
        <f>SUM(O$3:O$6)</f>
        <v>0</v>
      </c>
      <c r="P8" s="1">
        <f>SUM(P$3:P$6)</f>
        <v>0</v>
      </c>
      <c r="Q8" s="1">
        <f>SUM(Q$3:Q$6)</f>
        <v>0</v>
      </c>
      <c r="R8" s="1">
        <f>SUM(R$3:R$6)</f>
        <v>0</v>
      </c>
      <c r="S8" s="1">
        <f>SUM(S$3:S$6)</f>
        <v>0</v>
      </c>
      <c r="T8" s="1">
        <f>SUM(T$3:T$6)</f>
        <v>0</v>
      </c>
      <c r="U8" s="1">
        <f>SUM(U$3:U$6)</f>
        <v>0</v>
      </c>
      <c r="V8" s="1">
        <f>SUM(V$3:V$6)</f>
        <v>0</v>
      </c>
      <c r="W8" s="1">
        <f>SUM(W$3:W$6)</f>
        <v>0</v>
      </c>
      <c r="X8" s="1">
        <f>SUM(X$3:X$6)</f>
        <v>0</v>
      </c>
      <c r="Y8" s="1">
        <f>SUM(Y$3:Y$6)</f>
        <v>0</v>
      </c>
      <c r="Z8" s="1">
        <f>SUM(Z$3:Z$6)</f>
        <v>0</v>
      </c>
      <c r="AA8" s="1">
        <f>SUM(AA$3:AA$6)</f>
        <v>0</v>
      </c>
      <c r="AB8" s="1">
        <f>SUM(AB$3:AB$6)</f>
        <v>0</v>
      </c>
    </row>
    <row r="9" spans="1:28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>
        <f>AVERAGE(H$3:H$6)</f>
        <v>0</v>
      </c>
      <c r="I9" s="1"/>
      <c r="J9" s="1">
        <f>AVERAGE(J$3:J$6)</f>
        <v>0</v>
      </c>
      <c r="K9" s="1">
        <f>AVERAGE(K$3:K$6)</f>
        <v>0</v>
      </c>
      <c r="L9" s="1">
        <f>AVERAGE(L$3:L$6)</f>
        <v>0</v>
      </c>
      <c r="M9" s="1">
        <f>AVERAGE(M$3:M$6)</f>
        <v>0</v>
      </c>
      <c r="N9" s="1"/>
      <c r="O9" s="1">
        <f>AVERAGE(O$3:O$6)</f>
        <v>0</v>
      </c>
      <c r="P9" s="1">
        <f>AVERAGE(P$3:P$6)</f>
        <v>0</v>
      </c>
      <c r="Q9" s="1">
        <f>AVERAGE(Q$3:Q$6)</f>
        <v>0</v>
      </c>
      <c r="R9" s="1">
        <f>AVERAGE(R$3:R$6)</f>
        <v>0</v>
      </c>
      <c r="S9" s="1">
        <f>AVERAGE(S$3:S$6)</f>
        <v>0</v>
      </c>
      <c r="T9" s="1">
        <f>AVERAGE(T$3:T$6)</f>
        <v>0</v>
      </c>
      <c r="U9" s="1">
        <f>AVERAGE(U$3:U$6)</f>
        <v>0</v>
      </c>
      <c r="V9" s="1">
        <f>AVERAGE(V$3:V$6)</f>
        <v>0</v>
      </c>
      <c r="W9" s="1">
        <f>AVERAGE(W$3:W$6)</f>
        <v>0</v>
      </c>
      <c r="X9" s="1">
        <f>AVERAGE(X$3:X$6)</f>
        <v>0</v>
      </c>
      <c r="Y9" s="1">
        <f>AVERAGE(Y$3:Y$6)</f>
        <v>0</v>
      </c>
      <c r="Z9" s="1">
        <f>AVERAGE(Z$3:Z$6)</f>
        <v>0</v>
      </c>
      <c r="AA9" s="1">
        <f>AVERAGE(AA$3:AA$6)</f>
        <v>0</v>
      </c>
      <c r="AB9" s="1">
        <f>AVERAGE(AB$3:AB$6)</f>
        <v>0</v>
      </c>
    </row>
    <row r="10" spans="1:28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>
        <f>STDEV(H$3:H$6)</f>
        <v>0</v>
      </c>
      <c r="I10" s="1"/>
      <c r="J10" s="1">
        <f>STDEV(J$3:J$6)</f>
        <v>0</v>
      </c>
      <c r="K10" s="1">
        <f>STDEV(K$3:K$6)</f>
        <v>0</v>
      </c>
      <c r="L10" s="1">
        <f>STDEV(L$3:L$6)</f>
        <v>0</v>
      </c>
      <c r="M10" s="1">
        <f>STDEV(M$3:M$6)</f>
        <v>0</v>
      </c>
      <c r="N10" s="1"/>
      <c r="O10" s="1">
        <f>STDEV(O$3:O$6)</f>
        <v>0</v>
      </c>
      <c r="P10" s="1">
        <f>STDEV(P$3:P$6)</f>
        <v>0</v>
      </c>
      <c r="Q10" s="1">
        <f>STDEV(Q$3:Q$6)</f>
        <v>0</v>
      </c>
      <c r="R10" s="1">
        <f>STDEV(R$3:R$6)</f>
        <v>0</v>
      </c>
      <c r="S10" s="1">
        <f>STDEV(S$3:S$6)</f>
        <v>0</v>
      </c>
      <c r="T10" s="1">
        <f>STDEV(T$3:T$6)</f>
        <v>0</v>
      </c>
      <c r="U10" s="1">
        <f>STDEV(U$3:U$6)</f>
        <v>0</v>
      </c>
      <c r="V10" s="1">
        <f>STDEV(V$3:V$6)</f>
        <v>0</v>
      </c>
      <c r="W10" s="1">
        <f>STDEV(W$3:W$6)</f>
        <v>0</v>
      </c>
      <c r="X10" s="1">
        <f>STDEV(X$3:X$6)</f>
        <v>0</v>
      </c>
      <c r="Y10" s="1">
        <f>STDEV(Y$3:Y$6)</f>
        <v>0</v>
      </c>
      <c r="Z10" s="1">
        <f>STDEV(Z$3:Z$6)</f>
        <v>0</v>
      </c>
      <c r="AA10" s="1">
        <f>STDEV(AA$3:AA$6)</f>
        <v>0</v>
      </c>
      <c r="AB10" s="1">
        <f>STDEV(AB$3:AB$6)</f>
        <v>0</v>
      </c>
    </row>
    <row r="11" spans="1:28">
      <c r="A11" s="1" t="s">
        <v>7</v>
      </c>
      <c r="B11" s="1">
        <f>SUMPRODUCT(--(B$3:B$6-$Q$3:$Q$6)^2)^0.5</f>
        <v>0</v>
      </c>
      <c r="C11" s="1">
        <f>SUMPRODUCT(--(C$3:C$6-$R$3:$R$6)^2)^0.5</f>
        <v>0</v>
      </c>
      <c r="D11" s="1"/>
      <c r="E11" s="1">
        <f>SUMPRODUCT(--(E$3:E$6-$S$3:$S$6)^2)^0.5</f>
        <v>0</v>
      </c>
      <c r="F11" s="1">
        <f>SUMPRODUCT(--(F$3:F$6-$T$3:$T$6)^2)^0.5</f>
        <v>0</v>
      </c>
      <c r="G11" s="1">
        <f>SUMPRODUCT(--(G$3:G$6-$Q$3:$Q$6)^2)^0.5</f>
        <v>0</v>
      </c>
      <c r="H11" s="1">
        <f>SUMPRODUCT(--(H$3:H$6-$R$3:$R$6)^2)^0.5</f>
        <v>0</v>
      </c>
      <c r="I11" s="1"/>
      <c r="J11" s="1">
        <f>SUMPRODUCT(--(J$3:J$6-$S$3:$S$6)^2)^0.5</f>
        <v>0</v>
      </c>
      <c r="K11" s="1">
        <f>SUMPRODUCT(--(K$3:K$6-$T$3:$T$6)^2)^0.5</f>
        <v>0</v>
      </c>
      <c r="L11" s="1">
        <f>SUMPRODUCT(--(L$3:L$6-$Q$3:$Q$6)^2)^0.5</f>
        <v>0</v>
      </c>
      <c r="M11" s="1">
        <f>SUMPRODUCT(--(M$3:M$6-$R$3:$R$6)^2)^0.5</f>
        <v>0</v>
      </c>
      <c r="N11" s="1"/>
      <c r="O11" s="1">
        <f>SUMPRODUCT(--(O$3:O$6-$S$3:$S$6)^2)^0.5</f>
        <v>0</v>
      </c>
      <c r="P11" s="1">
        <f>SUMPRODUCT(--(P$3:P$6-$T$3:$T$6)^2)^0.5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8</v>
      </c>
      <c r="B12" s="1">
        <f>SUMPRODUCT(NOT(ISBLANK(B$3:B$6))*(B$3:B$6=$Q$3:$Q$6))</f>
        <v>0</v>
      </c>
      <c r="C12" s="1">
        <f>SUMPRODUCT(NOT(ISBLANK(C$3:C$6))*(C$3:C$6=$R$3:$R$6))</f>
        <v>0</v>
      </c>
      <c r="D12" s="1"/>
      <c r="E12" s="1">
        <f>SUMPRODUCT(NOT(ISBLANK(E$3:E$6))*(E$3:E$6=$S$3:$S$6))</f>
        <v>0</v>
      </c>
      <c r="F12" s="1">
        <f>SUMPRODUCT(NOT(ISBLANK(F$3:F$6))*(F$3:F$6=$T$3:$T$6))</f>
        <v>0</v>
      </c>
      <c r="G12" s="1">
        <f>SUMPRODUCT(NOT(ISBLANK(G$3:G$6))*(G$3:G$6=$Q$3:$Q$6))</f>
        <v>0</v>
      </c>
      <c r="H12" s="1">
        <f>SUMPRODUCT(NOT(ISBLANK(H$3:H$6))*(H$3:H$6=$R$3:$R$6))</f>
        <v>0</v>
      </c>
      <c r="I12" s="1"/>
      <c r="J12" s="1">
        <f>SUMPRODUCT(NOT(ISBLANK(J$3:J$6))*(J$3:J$6=$S$3:$S$6))</f>
        <v>0</v>
      </c>
      <c r="K12" s="1">
        <f>SUMPRODUCT(NOT(ISBLANK(K$3:K$6))*(K$3:K$6=$T$3:$T$6))</f>
        <v>0</v>
      </c>
      <c r="L12" s="1">
        <f>SUMPRODUCT(NOT(ISBLANK(L$3:L$6))*(L$3:L$6=$Q$3:$Q$6))</f>
        <v>0</v>
      </c>
      <c r="M12" s="1">
        <f>SUMPRODUCT(NOT(ISBLANK(M$3:M$6))*(M$3:M$6=$R$3:$R$6))</f>
        <v>0</v>
      </c>
      <c r="N12" s="1"/>
      <c r="O12" s="1">
        <f>SUMPRODUCT(NOT(ISBLANK(O$3:O$6))*(O$3:O$6=$S$3:$S$6))</f>
        <v>0</v>
      </c>
      <c r="P12" s="1">
        <f>SUMPRODUCT(NOT(ISBLANK(P$3:P$6))*(P$3:P$6=$T$3:$T$6))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>
      <c r="A13" s="1" t="s">
        <v>9</v>
      </c>
      <c r="B13" s="1">
        <f>SUMPRODUCT(NOT(ISBLANK(B$3:B$6))*(B$3:B$6&lt;$U$3:$U$6))</f>
        <v>0</v>
      </c>
      <c r="C13" s="1">
        <f>SUMPRODUCT(NOT(ISBLANK(C$3:C$6))*(C$3:C$6&lt;$V$3:$V$6))</f>
        <v>0</v>
      </c>
      <c r="D13" s="1"/>
      <c r="E13" s="1">
        <f>SUMPRODUCT(NOT(ISBLANK(E$3:E$6))*(E$3:E$6&lt;$W$3:$W$6))</f>
        <v>0</v>
      </c>
      <c r="F13" s="1">
        <f>SUMPRODUCT(NOT(ISBLANK(F$3:F$6))*(F$3:F$6&lt;$X$3:$X$6))</f>
        <v>0</v>
      </c>
      <c r="G13" s="1">
        <f>SUMPRODUCT(NOT(ISBLANK(G$3:G$6))*(G$3:G$6&lt;$U$3:$U$6))</f>
        <v>0</v>
      </c>
      <c r="H13" s="1">
        <f>SUMPRODUCT(NOT(ISBLANK(H$3:H$6))*(H$3:H$6&lt;$V$3:$V$6))</f>
        <v>0</v>
      </c>
      <c r="I13" s="1"/>
      <c r="J13" s="1">
        <f>SUMPRODUCT(NOT(ISBLANK(J$3:J$6))*(J$3:J$6&lt;$W$3:$W$6))</f>
        <v>0</v>
      </c>
      <c r="K13" s="1">
        <f>SUMPRODUCT(NOT(ISBLANK(K$3:K$6))*(K$3:K$6&lt;$X$3:$X$6))</f>
        <v>0</v>
      </c>
      <c r="L13" s="1">
        <f>SUMPRODUCT(NOT(ISBLANK(L$3:L$6))*(L$3:L$6&lt;$U$3:$U$6))</f>
        <v>0</v>
      </c>
      <c r="M13" s="1">
        <f>SUMPRODUCT(NOT(ISBLANK(M$3:M$6))*(M$3:M$6&lt;$V$3:$V$6))</f>
        <v>0</v>
      </c>
      <c r="N13" s="1"/>
      <c r="O13" s="1">
        <f>SUMPRODUCT(NOT(ISBLANK(O$3:O$6))*(O$3:O$6&lt;$W$3:$W$6))</f>
        <v>0</v>
      </c>
      <c r="P13" s="1">
        <f>SUMPRODUCT(NOT(ISBLANK(P$3:P$6))*(P$3:P$6&lt;$X$3:$X$6))</f>
        <v>0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>
      <c r="A14" s="1" t="s">
        <v>10</v>
      </c>
      <c r="B14" s="1">
        <f>SUMPRODUCT((NOT(ISBLANK(B$3:B$6))*(B$3:B$6&gt;$U$3:$U$6))+ISBLANK(B$3:B$6))</f>
        <v>0</v>
      </c>
      <c r="C14" s="1">
        <f>SUMPRODUCT((NOT(ISBLANK(C$3:C$6))*(C$3:C$6&gt;$V$3:$V$6))+ISBLANK(C$3:C$6))</f>
        <v>0</v>
      </c>
      <c r="D14" s="1"/>
      <c r="E14" s="1">
        <f>SUMPRODUCT((NOT(ISBLANK(E$3:E$6))*(E$3:E$6&gt;$W$3:$W$6))+ISBLANK(E$3:E$6))</f>
        <v>0</v>
      </c>
      <c r="F14" s="1">
        <f>SUMPRODUCT((NOT(ISBLANK(F$3:F$6))*(F$3:F$6&gt;$X$3:$X$6))+ISBLANK(F$3:F$6))</f>
        <v>0</v>
      </c>
      <c r="G14" s="1">
        <f>SUMPRODUCT((NOT(ISBLANK(G$3:G$6))*(G$3:G$6&gt;$U$3:$U$6))+ISBLANK(G$3:G$6))</f>
        <v>0</v>
      </c>
      <c r="H14" s="1">
        <f>SUMPRODUCT((NOT(ISBLANK(H$3:H$6))*(H$3:H$6&gt;$V$3:$V$6))+ISBLANK(H$3:H$6))</f>
        <v>0</v>
      </c>
      <c r="I14" s="1"/>
      <c r="J14" s="1">
        <f>SUMPRODUCT((NOT(ISBLANK(J$3:J$6))*(J$3:J$6&gt;$W$3:$W$6))+ISBLANK(J$3:J$6))</f>
        <v>0</v>
      </c>
      <c r="K14" s="1">
        <f>SUMPRODUCT((NOT(ISBLANK(K$3:K$6))*(K$3:K$6&gt;$X$3:$X$6))+ISBLANK(K$3:K$6))</f>
        <v>0</v>
      </c>
      <c r="L14" s="1">
        <f>SUMPRODUCT((NOT(ISBLANK(L$3:L$6))*(L$3:L$6&gt;$U$3:$U$6))+ISBLANK(L$3:L$6))</f>
        <v>0</v>
      </c>
      <c r="M14" s="1">
        <f>SUMPRODUCT((NOT(ISBLANK(M$3:M$6))*(M$3:M$6&gt;$V$3:$V$6))+ISBLANK(M$3:M$6))</f>
        <v>0</v>
      </c>
      <c r="N14" s="1"/>
      <c r="O14" s="1">
        <f>SUMPRODUCT((NOT(ISBLANK(O$3:O$6))*(O$3:O$6&gt;$W$3:$W$6))+ISBLANK(O$3:O$6))</f>
        <v>0</v>
      </c>
      <c r="P14" s="1">
        <f>SUMPRODUCT((NOT(ISBLANK(P$3:P$6))*(P$3:P$6&gt;$X$3:$X$6))+ISBLANK(P$3:P$6))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>
      <c r="A15" s="1" t="s">
        <v>11</v>
      </c>
      <c r="B15" s="1">
        <f>SUMPRODUCT((NOT(ISBLANK(B$3:B$6))*(B$3:B$6=$Y$3:$Y$6))+ISBLANK(B$3:B$6))</f>
        <v>0</v>
      </c>
      <c r="C15" s="1">
        <f>SUMPRODUCT((NOT(ISBLANK(C$3:C$6))*(C$3:C$6=$Z$3:$Z$6))+ISBLANK(C$3:C$6))</f>
        <v>0</v>
      </c>
      <c r="D15" s="1"/>
      <c r="E15" s="1">
        <f>SUMPRODUCT((NOT(ISBLANK(E$3:E$6))*(E$3:E$6=$AA$3:$AA$6))+ISBLANK(E$3:E$6))</f>
        <v>0</v>
      </c>
      <c r="F15" s="1">
        <f>SUMPRODUCT((NOT(ISBLANK(F$3:F$6))*(F$3:F$6=$AB$3:$AB$6))+ISBLANK(F$3:F$6))</f>
        <v>0</v>
      </c>
      <c r="G15" s="1">
        <f>SUMPRODUCT((NOT(ISBLANK(G$3:G$6))*(G$3:G$6=$Y$3:$Y$6))+ISBLANK(G$3:G$6))</f>
        <v>0</v>
      </c>
      <c r="H15" s="1">
        <f>SUMPRODUCT((NOT(ISBLANK(H$3:H$6))*(H$3:H$6=$Z$3:$Z$6))+ISBLANK(H$3:H$6))</f>
        <v>0</v>
      </c>
      <c r="I15" s="1"/>
      <c r="J15" s="1">
        <f>SUMPRODUCT((NOT(ISBLANK(J$3:J$6))*(J$3:J$6=$AA$3:$AA$6))+ISBLANK(J$3:J$6))</f>
        <v>0</v>
      </c>
      <c r="K15" s="1">
        <f>SUMPRODUCT((NOT(ISBLANK(K$3:K$6))*(K$3:K$6=$AB$3:$AB$6))+ISBLANK(K$3:K$6))</f>
        <v>0</v>
      </c>
      <c r="L15" s="1">
        <f>SUMPRODUCT((NOT(ISBLANK(L$3:L$6))*(L$3:L$6=$Y$3:$Y$6))+ISBLANK(L$3:L$6))</f>
        <v>0</v>
      </c>
      <c r="M15" s="1">
        <f>SUMPRODUCT((NOT(ISBLANK(M$3:M$6))*(M$3:M$6=$Z$3:$Z$6))+ISBLANK(M$3:M$6))</f>
        <v>0</v>
      </c>
      <c r="N15" s="1"/>
      <c r="O15" s="1">
        <f>SUMPRODUCT((NOT(ISBLANK(O$3:O$6))*(O$3:O$6=$AA$3:$AA$6))+ISBLANK(O$3:O$6))</f>
        <v>0</v>
      </c>
      <c r="P15" s="1">
        <f>SUMPRODUCT((NOT(ISBLANK(P$3:P$6))*(P$3:P$6=$AB$3:$AB$6))+ISBLANK(P$3:P$6))</f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8" width="11.42578125" customWidth="1"/>
  </cols>
  <sheetData>
    <row r="1" spans="1:28">
      <c r="A1" s="1"/>
      <c r="B1" s="1" t="s">
        <v>12</v>
      </c>
      <c r="C1" s="1"/>
      <c r="D1" s="1"/>
      <c r="E1" s="1"/>
      <c r="F1" s="1"/>
      <c r="G1" s="1" t="s">
        <v>19</v>
      </c>
      <c r="H1" s="1"/>
      <c r="I1" s="1"/>
      <c r="J1" s="1"/>
      <c r="K1" s="1"/>
      <c r="L1" s="1" t="s">
        <v>20</v>
      </c>
      <c r="M1" s="1"/>
      <c r="N1" s="1"/>
      <c r="O1" s="1"/>
      <c r="P1" s="1"/>
      <c r="Q1" s="1" t="s">
        <v>21</v>
      </c>
      <c r="R1" s="1"/>
      <c r="S1" s="1"/>
      <c r="T1" s="1"/>
      <c r="U1" s="1" t="s">
        <v>22</v>
      </c>
      <c r="V1" s="1"/>
      <c r="W1" s="1"/>
      <c r="X1" s="1"/>
      <c r="Y1" s="1" t="s">
        <v>23</v>
      </c>
      <c r="Z1" s="1"/>
      <c r="AA1" s="1"/>
      <c r="AB1" s="1"/>
    </row>
    <row r="2" spans="1:28">
      <c r="A2" s="1"/>
      <c r="B2" s="1" t="s">
        <v>13</v>
      </c>
      <c r="C2" s="1" t="s">
        <v>14</v>
      </c>
      <c r="D2" s="1" t="s">
        <v>15</v>
      </c>
      <c r="E2" s="1" t="s">
        <v>17</v>
      </c>
      <c r="F2" s="1" t="s">
        <v>18</v>
      </c>
      <c r="G2" s="1" t="s">
        <v>13</v>
      </c>
      <c r="H2" s="1" t="s">
        <v>14</v>
      </c>
      <c r="I2" s="1" t="s">
        <v>15</v>
      </c>
      <c r="J2" s="1" t="s">
        <v>17</v>
      </c>
      <c r="K2" s="1" t="s">
        <v>18</v>
      </c>
      <c r="L2" s="1" t="s">
        <v>13</v>
      </c>
      <c r="M2" s="1" t="s">
        <v>14</v>
      </c>
      <c r="N2" s="1" t="s">
        <v>15</v>
      </c>
      <c r="O2" s="1" t="s">
        <v>17</v>
      </c>
      <c r="P2" s="1" t="s">
        <v>18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13</v>
      </c>
      <c r="V2" s="1" t="s">
        <v>14</v>
      </c>
      <c r="W2" s="1" t="s">
        <v>17</v>
      </c>
      <c r="X2" s="1" t="s">
        <v>18</v>
      </c>
      <c r="Y2" s="1" t="s">
        <v>13</v>
      </c>
      <c r="Z2" s="1" t="s">
        <v>14</v>
      </c>
      <c r="AA2" s="1" t="s">
        <v>17</v>
      </c>
      <c r="AB2" s="1" t="s">
        <v>18</v>
      </c>
    </row>
    <row r="3" spans="1:28">
      <c r="A3" s="1" t="s">
        <v>25</v>
      </c>
      <c r="B3" s="1">
        <f>AVERAGE(Instances!B3:Instances!B6)</f>
        <v>0</v>
      </c>
      <c r="C3" s="1">
        <f>AVERAGE(Instances!C3:Instances!C6)</f>
        <v>0</v>
      </c>
      <c r="D3" s="1"/>
      <c r="E3" s="1">
        <f>AVERAGE(Instances!E3:Instances!E6)</f>
        <v>0</v>
      </c>
      <c r="F3" s="1">
        <f>AVERAGE(Instances!F3:Instances!F6)</f>
        <v>0</v>
      </c>
      <c r="G3" s="1">
        <f>AVERAGE(Instances!G3:Instances!G6)</f>
        <v>0</v>
      </c>
      <c r="H3" s="1">
        <f>AVERAGE(Instances!H3:Instances!H6)</f>
        <v>0</v>
      </c>
      <c r="I3" s="1"/>
      <c r="J3" s="1">
        <f>AVERAGE(Instances!J3:Instances!J6)</f>
        <v>0</v>
      </c>
      <c r="K3" s="1">
        <f>AVERAGE(Instances!K3:Instances!K6)</f>
        <v>0</v>
      </c>
      <c r="L3" s="1">
        <f>AVERAGE(Instances!L3:Instances!L6)</f>
        <v>0</v>
      </c>
      <c r="M3" s="1">
        <f>AVERAGE(Instances!M3:Instances!M6)</f>
        <v>0</v>
      </c>
      <c r="N3" s="1"/>
      <c r="O3" s="1">
        <f>AVERAGE(Instances!O3:Instances!O6)</f>
        <v>0</v>
      </c>
      <c r="P3" s="1">
        <f>AVERAGE(Instances!P3:Instances!P6)</f>
        <v>0</v>
      </c>
      <c r="Q3" s="1">
        <f>MIN($B3,$G3,$L3)</f>
        <v>0</v>
      </c>
      <c r="R3" s="1">
        <f>MIN($C3,$H3,$M3)</f>
        <v>0</v>
      </c>
      <c r="S3" s="1">
        <f>MIN($E3,$J3,$O3)</f>
        <v>0</v>
      </c>
      <c r="T3" s="1">
        <f>MIN($F3,$K3,$P3)</f>
        <v>0</v>
      </c>
      <c r="U3" s="1">
        <f>MEDIAN($B3,$G3,$L3)</f>
        <v>0</v>
      </c>
      <c r="V3" s="1">
        <f>MEDIAN($C3,$H3,$M3)</f>
        <v>0</v>
      </c>
      <c r="W3" s="1">
        <f>MEDIAN($E3,$J3,$O3)</f>
        <v>0</v>
      </c>
      <c r="X3" s="1">
        <f>MEDIAN($F3,$K3,$P3)</f>
        <v>0</v>
      </c>
      <c r="Y3" s="1">
        <f>MAX($B3,$G3,$L3)</f>
        <v>0</v>
      </c>
      <c r="Z3" s="1">
        <f>MAX($C3,$H3,$M3)</f>
        <v>0</v>
      </c>
      <c r="AA3" s="1">
        <f>MAX($E3,$J3,$O3)</f>
        <v>0</v>
      </c>
      <c r="AB3" s="1">
        <f>MAX($F3,$K3,$P3)</f>
        <v>0</v>
      </c>
    </row>
    <row r="4" spans="1:2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>
      <c r="A5" s="1" t="s">
        <v>4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/>
      <c r="J5" s="1">
        <f>SUM(J$3:J$3)</f>
        <v>0</v>
      </c>
      <c r="K5" s="1">
        <f>SUM(K$3:K$3)</f>
        <v>0</v>
      </c>
      <c r="L5" s="1">
        <f>SUM(L$3:L$3)</f>
        <v>0</v>
      </c>
      <c r="M5" s="1">
        <f>SUM(M$3:M$3)</f>
        <v>0</v>
      </c>
      <c r="N5" s="1"/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>
        <f>SUM(Y$3:Y$3)</f>
        <v>0</v>
      </c>
      <c r="Z5" s="1">
        <f>SUM(Z$3:Z$3)</f>
        <v>0</v>
      </c>
      <c r="AA5" s="1">
        <f>SUM(AA$3:AA$3)</f>
        <v>0</v>
      </c>
      <c r="AB5" s="1">
        <f>SUM(AB$3:AB$3)</f>
        <v>0</v>
      </c>
    </row>
    <row r="6" spans="1:28">
      <c r="A6" s="1" t="s">
        <v>5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/>
      <c r="J6" s="1">
        <f>AVERAGE(J$3:J$3)</f>
        <v>0</v>
      </c>
      <c r="K6" s="1">
        <f>AVERAGE(K$3:K$3)</f>
        <v>0</v>
      </c>
      <c r="L6" s="1">
        <f>AVERAGE(L$3:L$3)</f>
        <v>0</v>
      </c>
      <c r="M6" s="1">
        <f>AVERAGE(M$3:M$3)</f>
        <v>0</v>
      </c>
      <c r="N6" s="1"/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>
        <f>AVERAGE(Y$3:Y$3)</f>
        <v>0</v>
      </c>
      <c r="Z6" s="1">
        <f>AVERAGE(Z$3:Z$3)</f>
        <v>0</v>
      </c>
      <c r="AA6" s="1">
        <f>AVERAGE(AA$3:AA$3)</f>
        <v>0</v>
      </c>
      <c r="AB6" s="1">
        <f>AVERAGE(AB$3:AB$3)</f>
        <v>0</v>
      </c>
    </row>
    <row r="7" spans="1:28">
      <c r="A7" s="1" t="s">
        <v>6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/>
      <c r="J7" s="1">
        <f>STDEV(J$3:J$3)</f>
        <v>0</v>
      </c>
      <c r="K7" s="1">
        <f>STDEV(K$3:K$3)</f>
        <v>0</v>
      </c>
      <c r="L7" s="1">
        <f>STDEV(L$3:L$3)</f>
        <v>0</v>
      </c>
      <c r="M7" s="1">
        <f>STDEV(M$3:M$3)</f>
        <v>0</v>
      </c>
      <c r="N7" s="1"/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>
        <f>STDEV(Y$3:Y$3)</f>
        <v>0</v>
      </c>
      <c r="Z7" s="1">
        <f>STDEV(Z$3:Z$3)</f>
        <v>0</v>
      </c>
      <c r="AA7" s="1">
        <f>STDEV(AA$3:AA$3)</f>
        <v>0</v>
      </c>
      <c r="AB7" s="1">
        <f>STDEV(AB$3:AB$3)</f>
        <v>0</v>
      </c>
    </row>
    <row r="8" spans="1:28">
      <c r="A8" s="1" t="s">
        <v>7</v>
      </c>
      <c r="B8" s="1">
        <f>SUMPRODUCT(--(B$3:B$3-$Q$3:$Q$3)^2)^0.5</f>
        <v>0</v>
      </c>
      <c r="C8" s="1">
        <f>SUMPRODUCT(--(C$3:C$3-$R$3:$R$3)^2)^0.5</f>
        <v>0</v>
      </c>
      <c r="D8" s="1"/>
      <c r="E8" s="1">
        <f>SUMPRODUCT(--(E$3:E$3-$S$3:$S$3)^2)^0.5</f>
        <v>0</v>
      </c>
      <c r="F8" s="1">
        <f>SUMPRODUCT(--(F$3:F$3-$T$3:$T$3)^2)^0.5</f>
        <v>0</v>
      </c>
      <c r="G8" s="1">
        <f>SUMPRODUCT(--(G$3:G$3-$Q$3:$Q$3)^2)^0.5</f>
        <v>0</v>
      </c>
      <c r="H8" s="1">
        <f>SUMPRODUCT(--(H$3:H$3-$R$3:$R$3)^2)^0.5</f>
        <v>0</v>
      </c>
      <c r="I8" s="1"/>
      <c r="J8" s="1">
        <f>SUMPRODUCT(--(J$3:J$3-$S$3:$S$3)^2)^0.5</f>
        <v>0</v>
      </c>
      <c r="K8" s="1">
        <f>SUMPRODUCT(--(K$3:K$3-$T$3:$T$3)^2)^0.5</f>
        <v>0</v>
      </c>
      <c r="L8" s="1">
        <f>SUMPRODUCT(--(L$3:L$3-$Q$3:$Q$3)^2)^0.5</f>
        <v>0</v>
      </c>
      <c r="M8" s="1">
        <f>SUMPRODUCT(--(M$3:M$3-$R$3:$R$3)^2)^0.5</f>
        <v>0</v>
      </c>
      <c r="N8" s="1"/>
      <c r="O8" s="1">
        <f>SUMPRODUCT(--(O$3:O$3-$S$3:$S$3)^2)^0.5</f>
        <v>0</v>
      </c>
      <c r="P8" s="1">
        <f>SUMPRODUCT(--(P$3:P$3-$T$3:$T$3)^2)^0.5</f>
        <v>0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>
      <c r="A9" s="1" t="s">
        <v>8</v>
      </c>
      <c r="B9" s="1">
        <f>SUMPRODUCT(NOT(ISBLANK(B$3:B$3))*(B$3:B$3=$Q$3:$Q$3))</f>
        <v>0</v>
      </c>
      <c r="C9" s="1">
        <f>SUMPRODUCT(NOT(ISBLANK(C$3:C$3))*(C$3:C$3=$R$3:$R$3))</f>
        <v>0</v>
      </c>
      <c r="D9" s="1"/>
      <c r="E9" s="1">
        <f>SUMPRODUCT(NOT(ISBLANK(E$3:E$3))*(E$3:E$3=$S$3:$S$3))</f>
        <v>0</v>
      </c>
      <c r="F9" s="1">
        <f>SUMPRODUCT(NOT(ISBLANK(F$3:F$3))*(F$3:F$3=$T$3:$T$3))</f>
        <v>0</v>
      </c>
      <c r="G9" s="1">
        <f>SUMPRODUCT(NOT(ISBLANK(G$3:G$3))*(G$3:G$3=$Q$3:$Q$3))</f>
        <v>0</v>
      </c>
      <c r="H9" s="1">
        <f>SUMPRODUCT(NOT(ISBLANK(H$3:H$3))*(H$3:H$3=$R$3:$R$3))</f>
        <v>0</v>
      </c>
      <c r="I9" s="1"/>
      <c r="J9" s="1">
        <f>SUMPRODUCT(NOT(ISBLANK(J$3:J$3))*(J$3:J$3=$S$3:$S$3))</f>
        <v>0</v>
      </c>
      <c r="K9" s="1">
        <f>SUMPRODUCT(NOT(ISBLANK(K$3:K$3))*(K$3:K$3=$T$3:$T$3))</f>
        <v>0</v>
      </c>
      <c r="L9" s="1">
        <f>SUMPRODUCT(NOT(ISBLANK(L$3:L$3))*(L$3:L$3=$Q$3:$Q$3))</f>
        <v>0</v>
      </c>
      <c r="M9" s="1">
        <f>SUMPRODUCT(NOT(ISBLANK(M$3:M$3))*(M$3:M$3=$R$3:$R$3))</f>
        <v>0</v>
      </c>
      <c r="N9" s="1"/>
      <c r="O9" s="1">
        <f>SUMPRODUCT(NOT(ISBLANK(O$3:O$3))*(O$3:O$3=$S$3:$S$3))</f>
        <v>0</v>
      </c>
      <c r="P9" s="1">
        <f>SUMPRODUCT(NOT(ISBLANK(P$3:P$3))*(P$3:P$3=$T$3:$T$3))</f>
        <v>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>
      <c r="A10" s="1" t="s">
        <v>9</v>
      </c>
      <c r="B10" s="1">
        <f>SUMPRODUCT(NOT(ISBLANK(B$3:B$3))*(B$3:B$3&lt;$U$3:$U$3))</f>
        <v>0</v>
      </c>
      <c r="C10" s="1">
        <f>SUMPRODUCT(NOT(ISBLANK(C$3:C$3))*(C$3:C$3&lt;$V$3:$V$3))</f>
        <v>0</v>
      </c>
      <c r="D10" s="1"/>
      <c r="E10" s="1">
        <f>SUMPRODUCT(NOT(ISBLANK(E$3:E$3))*(E$3:E$3&lt;$W$3:$W$3))</f>
        <v>0</v>
      </c>
      <c r="F10" s="1">
        <f>SUMPRODUCT(NOT(ISBLANK(F$3:F$3))*(F$3:F$3&lt;$X$3:$X$3))</f>
        <v>0</v>
      </c>
      <c r="G10" s="1">
        <f>SUMPRODUCT(NOT(ISBLANK(G$3:G$3))*(G$3:G$3&lt;$U$3:$U$3))</f>
        <v>0</v>
      </c>
      <c r="H10" s="1">
        <f>SUMPRODUCT(NOT(ISBLANK(H$3:H$3))*(H$3:H$3&lt;$V$3:$V$3))</f>
        <v>0</v>
      </c>
      <c r="I10" s="1"/>
      <c r="J10" s="1">
        <f>SUMPRODUCT(NOT(ISBLANK(J$3:J$3))*(J$3:J$3&lt;$W$3:$W$3))</f>
        <v>0</v>
      </c>
      <c r="K10" s="1">
        <f>SUMPRODUCT(NOT(ISBLANK(K$3:K$3))*(K$3:K$3&lt;$X$3:$X$3))</f>
        <v>0</v>
      </c>
      <c r="L10" s="1">
        <f>SUMPRODUCT(NOT(ISBLANK(L$3:L$3))*(L$3:L$3&lt;$U$3:$U$3))</f>
        <v>0</v>
      </c>
      <c r="M10" s="1">
        <f>SUMPRODUCT(NOT(ISBLANK(M$3:M$3))*(M$3:M$3&lt;$V$3:$V$3))</f>
        <v>0</v>
      </c>
      <c r="N10" s="1"/>
      <c r="O10" s="1">
        <f>SUMPRODUCT(NOT(ISBLANK(O$3:O$3))*(O$3:O$3&lt;$W$3:$W$3))</f>
        <v>0</v>
      </c>
      <c r="P10" s="1">
        <f>SUMPRODUCT(NOT(ISBLANK(P$3:P$3))*(P$3:P$3&lt;$X$3:$X$3))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>
      <c r="A11" s="1" t="s">
        <v>10</v>
      </c>
      <c r="B11" s="1">
        <f>SUMPRODUCT((NOT(ISBLANK(B$3:B$3))*(B$3:B$3&gt;$U$3:$U$3))+ISBLANK(B$3:B$3))</f>
        <v>0</v>
      </c>
      <c r="C11" s="1">
        <f>SUMPRODUCT((NOT(ISBLANK(C$3:C$3))*(C$3:C$3&gt;$V$3:$V$3))+ISBLANK(C$3:C$3))</f>
        <v>0</v>
      </c>
      <c r="D11" s="1"/>
      <c r="E11" s="1">
        <f>SUMPRODUCT((NOT(ISBLANK(E$3:E$3))*(E$3:E$3&gt;$W$3:$W$3))+ISBLANK(E$3:E$3))</f>
        <v>0</v>
      </c>
      <c r="F11" s="1">
        <f>SUMPRODUCT((NOT(ISBLANK(F$3:F$3))*(F$3:F$3&gt;$X$3:$X$3))+ISBLANK(F$3:F$3))</f>
        <v>0</v>
      </c>
      <c r="G11" s="1">
        <f>SUMPRODUCT((NOT(ISBLANK(G$3:G$3))*(G$3:G$3&gt;$U$3:$U$3))+ISBLANK(G$3:G$3))</f>
        <v>0</v>
      </c>
      <c r="H11" s="1">
        <f>SUMPRODUCT((NOT(ISBLANK(H$3:H$3))*(H$3:H$3&gt;$V$3:$V$3))+ISBLANK(H$3:H$3))</f>
        <v>0</v>
      </c>
      <c r="I11" s="1"/>
      <c r="J11" s="1">
        <f>SUMPRODUCT((NOT(ISBLANK(J$3:J$3))*(J$3:J$3&gt;$W$3:$W$3))+ISBLANK(J$3:J$3))</f>
        <v>0</v>
      </c>
      <c r="K11" s="1">
        <f>SUMPRODUCT((NOT(ISBLANK(K$3:K$3))*(K$3:K$3&gt;$X$3:$X$3))+ISBLANK(K$3:K$3))</f>
        <v>0</v>
      </c>
      <c r="L11" s="1">
        <f>SUMPRODUCT((NOT(ISBLANK(L$3:L$3))*(L$3:L$3&gt;$U$3:$U$3))+ISBLANK(L$3:L$3))</f>
        <v>0</v>
      </c>
      <c r="M11" s="1">
        <f>SUMPRODUCT((NOT(ISBLANK(M$3:M$3))*(M$3:M$3&gt;$V$3:$V$3))+ISBLANK(M$3:M$3))</f>
        <v>0</v>
      </c>
      <c r="N11" s="1"/>
      <c r="O11" s="1">
        <f>SUMPRODUCT((NOT(ISBLANK(O$3:O$3))*(O$3:O$3&gt;$W$3:$W$3))+ISBLANK(O$3:O$3))</f>
        <v>0</v>
      </c>
      <c r="P11" s="1">
        <f>SUMPRODUCT((NOT(ISBLANK(P$3:P$3))*(P$3:P$3&gt;$X$3:$X$3))+ISBLANK(P$3:P$3))</f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>
      <c r="A12" s="1" t="s">
        <v>11</v>
      </c>
      <c r="B12" s="1">
        <f>SUMPRODUCT((NOT(ISBLANK(B$3:B$3))*(B$3:B$3=$Y$3:$Y$3))+ISBLANK(B$3:B$3))</f>
        <v>0</v>
      </c>
      <c r="C12" s="1">
        <f>SUMPRODUCT((NOT(ISBLANK(C$3:C$3))*(C$3:C$3=$Z$3:$Z$3))+ISBLANK(C$3:C$3))</f>
        <v>0</v>
      </c>
      <c r="D12" s="1"/>
      <c r="E12" s="1">
        <f>SUMPRODUCT((NOT(ISBLANK(E$3:E$3))*(E$3:E$3=$AA$3:$AA$3))+ISBLANK(E$3:E$3))</f>
        <v>0</v>
      </c>
      <c r="F12" s="1">
        <f>SUMPRODUCT((NOT(ISBLANK(F$3:F$3))*(F$3:F$3=$AB$3:$AB$3))+ISBLANK(F$3:F$3))</f>
        <v>0</v>
      </c>
      <c r="G12" s="1">
        <f>SUMPRODUCT((NOT(ISBLANK(G$3:G$3))*(G$3:G$3=$Y$3:$Y$3))+ISBLANK(G$3:G$3))</f>
        <v>0</v>
      </c>
      <c r="H12" s="1">
        <f>SUMPRODUCT((NOT(ISBLANK(H$3:H$3))*(H$3:H$3=$Z$3:$Z$3))+ISBLANK(H$3:H$3))</f>
        <v>0</v>
      </c>
      <c r="I12" s="1"/>
      <c r="J12" s="1">
        <f>SUMPRODUCT((NOT(ISBLANK(J$3:J$3))*(J$3:J$3=$AA$3:$AA$3))+ISBLANK(J$3:J$3))</f>
        <v>0</v>
      </c>
      <c r="K12" s="1">
        <f>SUMPRODUCT((NOT(ISBLANK(K$3:K$3))*(K$3:K$3=$AB$3:$AB$3))+ISBLANK(K$3:K$3))</f>
        <v>0</v>
      </c>
      <c r="L12" s="1">
        <f>SUMPRODUCT((NOT(ISBLANK(L$3:L$3))*(L$3:L$3=$Y$3:$Y$3))+ISBLANK(L$3:L$3))</f>
        <v>0</v>
      </c>
      <c r="M12" s="1">
        <f>SUMPRODUCT((NOT(ISBLANK(M$3:M$3))*(M$3:M$3=$Z$3:$Z$3))+ISBLANK(M$3:M$3))</f>
        <v>0</v>
      </c>
      <c r="N12" s="1"/>
      <c r="O12" s="1">
        <f>SUMPRODUCT((NOT(ISBLANK(O$3:O$3))*(O$3:O$3=$AA$3:$AA$3))+ISBLANK(O$3:O$3))</f>
        <v>0</v>
      </c>
      <c r="P12" s="1">
        <f>SUMPRODUCT((NOT(ISBLANK(P$3:P$3))*(P$3:P$3=$AB$3:$AB$3))+ISBLANK(P$3:P$3))</f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2026-02-15T21:39:20Z</dcterms:created>
  <dcterms:modified xsi:type="dcterms:W3CDTF">2026-02-15T21:39:20Z</dcterms:modified>
</cp:coreProperties>
</file>