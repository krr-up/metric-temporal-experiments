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<sst xmlns="http://schemas.openxmlformats.org/spreadsheetml/2006/main" count="298" uniqueCount="59">
  <si>
    <t>instances/x6_y6_a1_f1</t>
  </si>
  <si>
    <t>instances/x6_y6_a1_f10</t>
  </si>
  <si>
    <t>instances/x6_y6_a1_f15</t>
  </si>
  <si>
    <t>instances/x6_y6_a1_f20</t>
  </si>
  <si>
    <t>instances/x6_y6_a1_f25</t>
  </si>
  <si>
    <t>instances/x6_y6_a1_f30</t>
  </si>
  <si>
    <t>instances/x6_y6_a1_f35</t>
  </si>
  <si>
    <t>instances/x6_y6_a1_f40</t>
  </si>
  <si>
    <t>instances/x6_y6_a1_f5</t>
  </si>
  <si>
    <t>instances/x6_y6_a2_f1</t>
  </si>
  <si>
    <t>instances/x6_y6_a2_f10</t>
  </si>
  <si>
    <t>instances/x6_y6_a2_f15</t>
  </si>
  <si>
    <t>instances/x6_y6_a2_f20</t>
  </si>
  <si>
    <t>instances/x6_y6_a2_f25</t>
  </si>
  <si>
    <t>instances/x6_y6_a2_f30</t>
  </si>
  <si>
    <t>instances/x6_y6_a2_f35</t>
  </si>
  <si>
    <t>instances/x6_y6_a2_f40</t>
  </si>
  <si>
    <t>instances/x6_y6_a2_f5</t>
  </si>
  <si>
    <t>instances/x6_y6_a3_f1</t>
  </si>
  <si>
    <t>instances/x6_y6_a3_f10</t>
  </si>
  <si>
    <t>instances/x6_y6_a3_f15</t>
  </si>
  <si>
    <t>instances/x6_y6_a3_f20</t>
  </si>
  <si>
    <t>instances/x6_y6_a3_f25</t>
  </si>
  <si>
    <t>instances/x6_y6_a3_f30</t>
  </si>
  <si>
    <t>instances/x6_y6_a3_f35</t>
  </si>
  <si>
    <t>instances/x6_y6_a3_f40</t>
  </si>
  <si>
    <t>instances/x6_y6_a3_f5</t>
  </si>
  <si>
    <t>instances/x6_y6_a4_f1</t>
  </si>
  <si>
    <t>instances/x6_y6_a4_f10</t>
  </si>
  <si>
    <t>instances/x6_y6_a4_f15</t>
  </si>
  <si>
    <t>instances/x6_y6_a4_f20</t>
  </si>
  <si>
    <t>instances/x6_y6_a4_f25</t>
  </si>
  <si>
    <t>instances/x6_y6_a4_f30</t>
  </si>
  <si>
    <t>instances/x6_y6_a4_f35</t>
  </si>
  <si>
    <t>instances/x6_y6_a4_f40</t>
  </si>
  <si>
    <t>instances/x6_y6_a4_f5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</si>
  <si>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</si>
  <si>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</si>
  <si>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</si>
  <si>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</si>
  <si>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</si>
  <si>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</si>
  <si>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</si>
  <si>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</si>
  <si>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memelingo-1/allapproaches_mlp-tplp-ht</t>
  </si>
  <si>
    <t>time</t>
  </si>
  <si>
    <t>stime</t>
  </si>
  <si>
    <t>status</t>
  </si>
  <si>
    <t>SATISFIABLE</t>
  </si>
  <si>
    <t>UNKNOWN</t>
  </si>
  <si>
    <t>rules</t>
  </si>
  <si>
    <t>ctime</t>
  </si>
  <si>
    <t>memelingo-1/allapproaches_mlp-tplp-htc</t>
  </si>
  <si>
    <t>memelingo-1/allapproaches_mlp-tplp-htcdl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</si>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</sst>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3" width="11.42578125" customWidth="1"/>
    <col min="4" max="4" width="11.7109375" customWidth="1"/>
    <col min="5" max="8" width="11.42578125" customWidth="1"/>
    <col min="9" max="9" width="11.7109375" customWidth="1"/>
    <col min="10" max="13" width="11.42578125" customWidth="1"/>
    <col min="14" max="14" width="11.7109375" customWidth="1"/>
    <col min="15" max="28" width="11.42578125" customWidth="1"/>
  </cols>
  <sheetData>
    <row r="1" spans="1:28">
      <c r="A1" s="1"/>
      <c r="B1" s="1" t="s">
        <v>44</v>
      </c>
      <c r="C1" s="1"/>
      <c r="D1" s="1"/>
      <c r="E1" s="1"/>
      <c r="F1" s="1"/>
      <c r="G1" s="1" t="s">
        <v>52</v>
      </c>
      <c r="H1" s="1"/>
      <c r="I1" s="1"/>
      <c r="J1" s="1"/>
      <c r="K1" s="1"/>
      <c r="L1" s="1" t="s">
        <v>53</v>
      </c>
      <c r="M1" s="1"/>
      <c r="N1" s="1"/>
      <c r="O1" s="1"/>
      <c r="P1" s="1"/>
      <c r="Q1" s="1" t="s">
        <v>54</v>
      </c>
      <c r="R1" s="1"/>
      <c r="S1" s="1"/>
      <c r="T1" s="1"/>
      <c r="U1" s="1" t="s">
        <v>55</v>
      </c>
      <c r="V1" s="1"/>
      <c r="W1" s="1"/>
      <c r="X1" s="1"/>
      <c r="Y1" s="1" t="s">
        <v>56</v>
      </c>
      <c r="Z1" s="1"/>
      <c r="AA1" s="1"/>
      <c r="AB1" s="1"/>
    </row>
    <row r="2" spans="1:28">
      <c r="A2" s="1"/>
      <c r="B2" s="1" t="s">
        <v>45</v>
      </c>
      <c r="C2" s="1" t="s">
        <v>46</v>
      </c>
      <c r="D2" s="1" t="s">
        <v>47</v>
      </c>
      <c r="E2" s="1" t="s">
        <v>50</v>
      </c>
      <c r="F2" s="1" t="s">
        <v>51</v>
      </c>
      <c r="G2" s="1" t="s">
        <v>45</v>
      </c>
      <c r="H2" s="1" t="s">
        <v>46</v>
      </c>
      <c r="I2" s="1" t="s">
        <v>47</v>
      </c>
      <c r="J2" s="1" t="s">
        <v>50</v>
      </c>
      <c r="K2" s="1" t="s">
        <v>51</v>
      </c>
      <c r="L2" s="1" t="s">
        <v>45</v>
      </c>
      <c r="M2" s="1" t="s">
        <v>46</v>
      </c>
      <c r="N2" s="1" t="s">
        <v>47</v>
      </c>
      <c r="O2" s="1" t="s">
        <v>50</v>
      </c>
      <c r="P2" s="1" t="s">
        <v>51</v>
      </c>
      <c r="Q2" s="1" t="s">
        <v>45</v>
      </c>
      <c r="R2" s="1" t="s">
        <v>46</v>
      </c>
      <c r="S2" s="1" t="s">
        <v>50</v>
      </c>
      <c r="T2" s="1" t="s">
        <v>51</v>
      </c>
      <c r="U2" s="1" t="s">
        <v>45</v>
      </c>
      <c r="V2" s="1" t="s">
        <v>46</v>
      </c>
      <c r="W2" s="1" t="s">
        <v>50</v>
      </c>
      <c r="X2" s="1" t="s">
        <v>51</v>
      </c>
      <c r="Y2" s="1" t="s">
        <v>45</v>
      </c>
      <c r="Z2" s="1" t="s">
        <v>46</v>
      </c>
      <c r="AA2" s="1" t="s">
        <v>50</v>
      </c>
      <c r="AB2" s="1" t="s">
        <v>51</v>
      </c>
    </row>
    <row r="3" spans="1:28">
      <c r="A3" s="1" t="s">
        <v>0</v>
      </c>
      <c r="B3" s="1">
        <v>9.09</v>
      </c>
      <c r="C3" s="1">
        <v>0.04</v>
      </c>
      <c r="D3" s="1" t="s">
        <v>48</v>
      </c>
      <c r="E3" s="1">
        <v>217479</v>
      </c>
      <c r="F3" s="1">
        <v>2.505</v>
      </c>
      <c r="G3" s="1">
        <v>10.97</v>
      </c>
      <c r="H3" s="1">
        <v>0.1</v>
      </c>
      <c r="I3" s="1" t="s">
        <v>48</v>
      </c>
      <c r="J3" s="1">
        <v>173796</v>
      </c>
      <c r="K3" s="1">
        <v>2.414</v>
      </c>
      <c r="L3" s="1">
        <v>10.78</v>
      </c>
      <c r="M3" s="1">
        <v>2.11</v>
      </c>
      <c r="N3" s="1" t="s">
        <v>48</v>
      </c>
      <c r="O3" s="1">
        <v>173796</v>
      </c>
      <c r="P3" s="1">
        <v>4.328</v>
      </c>
      <c r="Q3" s="1">
        <f>MIN($B3,$G3,$L3)</f>
        <v>0</v>
      </c>
      <c r="R3" s="1">
        <f>MIN($C3,$H3,$M3)</f>
        <v>0</v>
      </c>
      <c r="S3" s="1">
        <f>MIN($E3,$J3,$O3)</f>
        <v>0</v>
      </c>
      <c r="T3" s="1">
        <f>MIN($F3,$K3,$P3)</f>
        <v>0</v>
      </c>
      <c r="U3" s="1">
        <f>MEDIAN($B3,$G3,$L3)</f>
        <v>0</v>
      </c>
      <c r="V3" s="1">
        <f>MEDIAN($C3,$H3,$M3)</f>
        <v>0</v>
      </c>
      <c r="W3" s="1">
        <f>MEDIAN($E3,$J3,$O3)</f>
        <v>0</v>
      </c>
      <c r="X3" s="1">
        <f>MEDIAN($F3,$K3,$P3)</f>
        <v>0</v>
      </c>
      <c r="Y3" s="1">
        <f>MAX($B3,$G3,$L3)</f>
        <v>0</v>
      </c>
      <c r="Z3" s="1">
        <f>MAX($C3,$H3,$M3)</f>
        <v>0</v>
      </c>
      <c r="AA3" s="1">
        <f>MAX($E3,$J3,$O3)</f>
        <v>0</v>
      </c>
      <c r="AB3" s="1">
        <f>MAX($F3,$K3,$P3)</f>
        <v>0</v>
      </c>
    </row>
    <row r="4" spans="1:28">
      <c r="A4" s="1" t="s">
        <v>1</v>
      </c>
      <c r="B4" s="1">
        <v>114.37</v>
      </c>
      <c r="C4" s="1">
        <v>50.22</v>
      </c>
      <c r="D4" s="1" t="s">
        <v>48</v>
      </c>
      <c r="E4" s="1">
        <v>9460199</v>
      </c>
      <c r="F4" s="1">
        <v>106.964</v>
      </c>
      <c r="G4" s="1">
        <v>10.24</v>
      </c>
      <c r="H4" s="1">
        <v>1.99</v>
      </c>
      <c r="I4" s="1" t="s">
        <v>48</v>
      </c>
      <c r="J4" s="1">
        <v>173907</v>
      </c>
      <c r="K4" s="1">
        <v>4.467</v>
      </c>
      <c r="L4" s="1">
        <v>15.27</v>
      </c>
      <c r="M4" s="1">
        <v>6.61</v>
      </c>
      <c r="N4" s="1" t="s">
        <v>48</v>
      </c>
      <c r="O4" s="1">
        <v>173907</v>
      </c>
      <c r="P4" s="1">
        <v>8.907</v>
      </c>
      <c r="Q4" s="1">
        <f>MIN($B4,$G4,$L4)</f>
        <v>0</v>
      </c>
      <c r="R4" s="1">
        <f>MIN($C4,$H4,$M4)</f>
        <v>0</v>
      </c>
      <c r="S4" s="1">
        <f>MIN($E4,$J4,$O4)</f>
        <v>0</v>
      </c>
      <c r="T4" s="1">
        <f>MIN($F4,$K4,$P4)</f>
        <v>0</v>
      </c>
      <c r="U4" s="1">
        <f>MEDIAN($B4,$G4,$L4)</f>
        <v>0</v>
      </c>
      <c r="V4" s="1">
        <f>MEDIAN($C4,$H4,$M4)</f>
        <v>0</v>
      </c>
      <c r="W4" s="1">
        <f>MEDIAN($E4,$J4,$O4)</f>
        <v>0</v>
      </c>
      <c r="X4" s="1">
        <f>MEDIAN($F4,$K4,$P4)</f>
        <v>0</v>
      </c>
      <c r="Y4" s="1">
        <f>MAX($B4,$G4,$L4)</f>
        <v>0</v>
      </c>
      <c r="Z4" s="1">
        <f>MAX($C4,$H4,$M4)</f>
        <v>0</v>
      </c>
      <c r="AA4" s="1">
        <f>MAX($E4,$J4,$O4)</f>
        <v>0</v>
      </c>
      <c r="AB4" s="1">
        <f>MAX($F4,$K4,$P4)</f>
        <v>0</v>
      </c>
    </row>
    <row r="5" spans="1:28">
      <c r="A5" s="1" t="s">
        <v>2</v>
      </c>
      <c r="B5" s="1">
        <v>440.57</v>
      </c>
      <c r="C5" s="1">
        <v>328.7</v>
      </c>
      <c r="D5" s="1" t="s">
        <v>48</v>
      </c>
      <c r="E5" s="1">
        <v>21474749</v>
      </c>
      <c r="F5" s="1">
        <v>429.593</v>
      </c>
      <c r="G5" s="1">
        <v>10.91</v>
      </c>
      <c r="H5" s="1">
        <v>0.71</v>
      </c>
      <c r="I5" s="1" t="s">
        <v>48</v>
      </c>
      <c r="J5" s="1">
        <v>173907</v>
      </c>
      <c r="K5" s="1">
        <v>3.409</v>
      </c>
      <c r="L5" s="1">
        <v>17.12</v>
      </c>
      <c r="M5" s="1">
        <v>6.67</v>
      </c>
      <c r="N5" s="1" t="s">
        <v>48</v>
      </c>
      <c r="O5" s="1">
        <v>173907</v>
      </c>
      <c r="P5" s="1">
        <v>8.877000000000001</v>
      </c>
      <c r="Q5" s="1">
        <f>MIN($B5,$G5,$L5)</f>
        <v>0</v>
      </c>
      <c r="R5" s="1">
        <f>MIN($C5,$H5,$M5)</f>
        <v>0</v>
      </c>
      <c r="S5" s="1">
        <f>MIN($E5,$J5,$O5)</f>
        <v>0</v>
      </c>
      <c r="T5" s="1">
        <f>MIN($F5,$K5,$P5)</f>
        <v>0</v>
      </c>
      <c r="U5" s="1">
        <f>MEDIAN($B5,$G5,$L5)</f>
        <v>0</v>
      </c>
      <c r="V5" s="1">
        <f>MEDIAN($C5,$H5,$M5)</f>
        <v>0</v>
      </c>
      <c r="W5" s="1">
        <f>MEDIAN($E5,$J5,$O5)</f>
        <v>0</v>
      </c>
      <c r="X5" s="1">
        <f>MEDIAN($F5,$K5,$P5)</f>
        <v>0</v>
      </c>
      <c r="Y5" s="1">
        <f>MAX($B5,$G5,$L5)</f>
        <v>0</v>
      </c>
      <c r="Z5" s="1">
        <f>MAX($C5,$H5,$M5)</f>
        <v>0</v>
      </c>
      <c r="AA5" s="1">
        <f>MAX($E5,$J5,$O5)</f>
        <v>0</v>
      </c>
      <c r="AB5" s="1">
        <f>MAX($F5,$K5,$P5)</f>
        <v>0</v>
      </c>
    </row>
    <row r="6" spans="1:28">
      <c r="A6" s="1" t="s">
        <v>3</v>
      </c>
      <c r="B6" s="1">
        <v>545.88</v>
      </c>
      <c r="C6" s="1">
        <v>299.63</v>
      </c>
      <c r="D6" s="1" t="s">
        <v>48</v>
      </c>
      <c r="E6" s="1">
        <v>38405549</v>
      </c>
      <c r="F6" s="1">
        <v>534.4930000000001</v>
      </c>
      <c r="G6" s="1">
        <v>8.92</v>
      </c>
      <c r="H6" s="1">
        <v>0.75</v>
      </c>
      <c r="I6" s="1" t="s">
        <v>48</v>
      </c>
      <c r="J6" s="1">
        <v>173907</v>
      </c>
      <c r="K6" s="1">
        <v>3.343</v>
      </c>
      <c r="L6" s="1">
        <v>15.44</v>
      </c>
      <c r="M6" s="1">
        <v>6.65</v>
      </c>
      <c r="N6" s="1" t="s">
        <v>48</v>
      </c>
      <c r="O6" s="1">
        <v>173907</v>
      </c>
      <c r="P6" s="1">
        <v>8.932</v>
      </c>
      <c r="Q6" s="1">
        <f>MIN($B6,$G6,$L6)</f>
        <v>0</v>
      </c>
      <c r="R6" s="1">
        <f>MIN($C6,$H6,$M6)</f>
        <v>0</v>
      </c>
      <c r="S6" s="1">
        <f>MIN($E6,$J6,$O6)</f>
        <v>0</v>
      </c>
      <c r="T6" s="1">
        <f>MIN($F6,$K6,$P6)</f>
        <v>0</v>
      </c>
      <c r="U6" s="1">
        <f>MEDIAN($B6,$G6,$L6)</f>
        <v>0</v>
      </c>
      <c r="V6" s="1">
        <f>MEDIAN($C6,$H6,$M6)</f>
        <v>0</v>
      </c>
      <c r="W6" s="1">
        <f>MEDIAN($E6,$J6,$O6)</f>
        <v>0</v>
      </c>
      <c r="X6" s="1">
        <f>MEDIAN($F6,$K6,$P6)</f>
        <v>0</v>
      </c>
      <c r="Y6" s="1">
        <f>MAX($B6,$G6,$L6)</f>
        <v>0</v>
      </c>
      <c r="Z6" s="1">
        <f>MAX($C6,$H6,$M6)</f>
        <v>0</v>
      </c>
      <c r="AA6" s="1">
        <f>MAX($E6,$J6,$O6)</f>
        <v>0</v>
      </c>
      <c r="AB6" s="1">
        <f>MAX($F6,$K6,$P6)</f>
        <v>0</v>
      </c>
    </row>
    <row r="7" spans="1:28">
      <c r="A7" s="1" t="s">
        <v>4</v>
      </c>
      <c r="B7" s="1">
        <v>1200</v>
      </c>
      <c r="C7" s="1">
        <v>0</v>
      </c>
      <c r="D7" s="1" t="s">
        <v>49</v>
      </c>
      <c r="E7" s="1">
        <v>0</v>
      </c>
      <c r="F7" s="1">
        <v>262.742</v>
      </c>
      <c r="G7" s="1">
        <v>12.11</v>
      </c>
      <c r="H7" s="1">
        <v>0.57</v>
      </c>
      <c r="I7" s="1" t="s">
        <v>48</v>
      </c>
      <c r="J7" s="1">
        <v>173907</v>
      </c>
      <c r="K7" s="1">
        <v>2.981</v>
      </c>
      <c r="L7" s="1">
        <v>16.15</v>
      </c>
      <c r="M7" s="1">
        <v>7.92</v>
      </c>
      <c r="N7" s="1" t="s">
        <v>48</v>
      </c>
      <c r="O7" s="1">
        <v>173907</v>
      </c>
      <c r="P7" s="1">
        <v>10.389</v>
      </c>
      <c r="Q7" s="1">
        <f>MIN($B7,$G7,$L7)</f>
        <v>0</v>
      </c>
      <c r="R7" s="1">
        <f>MIN($C7,$H7,$M7)</f>
        <v>0</v>
      </c>
      <c r="S7" s="1">
        <f>MIN($E7,$J7,$O7)</f>
        <v>0</v>
      </c>
      <c r="T7" s="1">
        <f>MIN($F7,$K7,$P7)</f>
        <v>0</v>
      </c>
      <c r="U7" s="1">
        <f>MEDIAN($B7,$G7,$L7)</f>
        <v>0</v>
      </c>
      <c r="V7" s="1">
        <f>MEDIAN($C7,$H7,$M7)</f>
        <v>0</v>
      </c>
      <c r="W7" s="1">
        <f>MEDIAN($E7,$J7,$O7)</f>
        <v>0</v>
      </c>
      <c r="X7" s="1">
        <f>MEDIAN($F7,$K7,$P7)</f>
        <v>0</v>
      </c>
      <c r="Y7" s="1">
        <f>MAX($B7,$G7,$L7)</f>
        <v>0</v>
      </c>
      <c r="Z7" s="1">
        <f>MAX($C7,$H7,$M7)</f>
        <v>0</v>
      </c>
      <c r="AA7" s="1">
        <f>MAX($E7,$J7,$O7)</f>
        <v>0</v>
      </c>
      <c r="AB7" s="1">
        <f>MAX($F7,$K7,$P7)</f>
        <v>0</v>
      </c>
    </row>
    <row r="8" spans="1:28">
      <c r="A8" s="1" t="s">
        <v>5</v>
      </c>
      <c r="B8" s="1">
        <v>1200</v>
      </c>
      <c r="C8" s="1">
        <v>0</v>
      </c>
      <c r="D8" s="1" t="s">
        <v>49</v>
      </c>
      <c r="E8" s="1">
        <v>0</v>
      </c>
      <c r="F8" s="1">
        <v>186.394</v>
      </c>
      <c r="G8" s="1">
        <v>9.609999999999999</v>
      </c>
      <c r="H8" s="1">
        <v>0.7</v>
      </c>
      <c r="I8" s="1" t="s">
        <v>48</v>
      </c>
      <c r="J8" s="1">
        <v>173907</v>
      </c>
      <c r="K8" s="1">
        <v>3.283</v>
      </c>
      <c r="L8" s="1">
        <v>15.96</v>
      </c>
      <c r="M8" s="1">
        <v>6.63</v>
      </c>
      <c r="N8" s="1" t="s">
        <v>48</v>
      </c>
      <c r="O8" s="1">
        <v>173907</v>
      </c>
      <c r="P8" s="1">
        <v>8.846</v>
      </c>
      <c r="Q8" s="1">
        <f>MIN($B8,$G8,$L8)</f>
        <v>0</v>
      </c>
      <c r="R8" s="1">
        <f>MIN($C8,$H8,$M8)</f>
        <v>0</v>
      </c>
      <c r="S8" s="1">
        <f>MIN($E8,$J8,$O8)</f>
        <v>0</v>
      </c>
      <c r="T8" s="1">
        <f>MIN($F8,$K8,$P8)</f>
        <v>0</v>
      </c>
      <c r="U8" s="1">
        <f>MEDIAN($B8,$G8,$L8)</f>
        <v>0</v>
      </c>
      <c r="V8" s="1">
        <f>MEDIAN($C8,$H8,$M8)</f>
        <v>0</v>
      </c>
      <c r="W8" s="1">
        <f>MEDIAN($E8,$J8,$O8)</f>
        <v>0</v>
      </c>
      <c r="X8" s="1">
        <f>MEDIAN($F8,$K8,$P8)</f>
        <v>0</v>
      </c>
      <c r="Y8" s="1">
        <f>MAX($B8,$G8,$L8)</f>
        <v>0</v>
      </c>
      <c r="Z8" s="1">
        <f>MAX($C8,$H8,$M8)</f>
        <v>0</v>
      </c>
      <c r="AA8" s="1">
        <f>MAX($E8,$J8,$O8)</f>
        <v>0</v>
      </c>
      <c r="AB8" s="1">
        <f>MAX($F8,$K8,$P8)</f>
        <v>0</v>
      </c>
    </row>
    <row r="9" spans="1:28">
      <c r="A9" s="1" t="s">
        <v>6</v>
      </c>
      <c r="B9" s="1">
        <v>1200</v>
      </c>
      <c r="C9" s="1">
        <v>0</v>
      </c>
      <c r="D9" s="1" t="s">
        <v>49</v>
      </c>
      <c r="E9" s="1">
        <v>0</v>
      </c>
      <c r="F9" s="1">
        <v>239.967</v>
      </c>
      <c r="G9" s="1">
        <v>12.18</v>
      </c>
      <c r="H9" s="1">
        <v>0.6899999999999999</v>
      </c>
      <c r="I9" s="1" t="s">
        <v>48</v>
      </c>
      <c r="J9" s="1">
        <v>173907</v>
      </c>
      <c r="K9" s="1">
        <v>3.135</v>
      </c>
      <c r="L9" s="1">
        <v>17.47</v>
      </c>
      <c r="M9" s="1">
        <v>6.63</v>
      </c>
      <c r="N9" s="1" t="s">
        <v>48</v>
      </c>
      <c r="O9" s="1">
        <v>173907</v>
      </c>
      <c r="P9" s="1">
        <v>8.872</v>
      </c>
      <c r="Q9" s="1">
        <f>MIN($B9,$G9,$L9)</f>
        <v>0</v>
      </c>
      <c r="R9" s="1">
        <f>MIN($C9,$H9,$M9)</f>
        <v>0</v>
      </c>
      <c r="S9" s="1">
        <f>MIN($E9,$J9,$O9)</f>
        <v>0</v>
      </c>
      <c r="T9" s="1">
        <f>MIN($F9,$K9,$P9)</f>
        <v>0</v>
      </c>
      <c r="U9" s="1">
        <f>MEDIAN($B9,$G9,$L9)</f>
        <v>0</v>
      </c>
      <c r="V9" s="1">
        <f>MEDIAN($C9,$H9,$M9)</f>
        <v>0</v>
      </c>
      <c r="W9" s="1">
        <f>MEDIAN($E9,$J9,$O9)</f>
        <v>0</v>
      </c>
      <c r="X9" s="1">
        <f>MEDIAN($F9,$K9,$P9)</f>
        <v>0</v>
      </c>
      <c r="Y9" s="1">
        <f>MAX($B9,$G9,$L9)</f>
        <v>0</v>
      </c>
      <c r="Z9" s="1">
        <f>MAX($C9,$H9,$M9)</f>
        <v>0</v>
      </c>
      <c r="AA9" s="1">
        <f>MAX($E9,$J9,$O9)</f>
        <v>0</v>
      </c>
      <c r="AB9" s="1">
        <f>MAX($F9,$K9,$P9)</f>
        <v>0</v>
      </c>
    </row>
    <row r="10" spans="1:28">
      <c r="A10" s="1" t="s">
        <v>7</v>
      </c>
      <c r="B10" s="1">
        <v>1200</v>
      </c>
      <c r="C10" s="1">
        <v>0</v>
      </c>
      <c r="D10" s="1" t="s">
        <v>49</v>
      </c>
      <c r="E10" s="1">
        <v>0</v>
      </c>
      <c r="F10" s="1">
        <v>224.577</v>
      </c>
      <c r="G10" s="1">
        <v>12.07</v>
      </c>
      <c r="H10" s="1">
        <v>0.89</v>
      </c>
      <c r="I10" s="1" t="s">
        <v>48</v>
      </c>
      <c r="J10" s="1">
        <v>173907</v>
      </c>
      <c r="K10" s="1">
        <v>3.41</v>
      </c>
      <c r="L10" s="1">
        <v>18.55</v>
      </c>
      <c r="M10" s="1">
        <v>9.42</v>
      </c>
      <c r="N10" s="1" t="s">
        <v>48</v>
      </c>
      <c r="O10" s="1">
        <v>173907</v>
      </c>
      <c r="P10" s="1">
        <v>11.994</v>
      </c>
      <c r="Q10" s="1">
        <f>MIN($B10,$G10,$L10)</f>
        <v>0</v>
      </c>
      <c r="R10" s="1">
        <f>MIN($C10,$H10,$M10)</f>
        <v>0</v>
      </c>
      <c r="S10" s="1">
        <f>MIN($E10,$J10,$O10)</f>
        <v>0</v>
      </c>
      <c r="T10" s="1">
        <f>MIN($F10,$K10,$P10)</f>
        <v>0</v>
      </c>
      <c r="U10" s="1">
        <f>MEDIAN($B10,$G10,$L10)</f>
        <v>0</v>
      </c>
      <c r="V10" s="1">
        <f>MEDIAN($C10,$H10,$M10)</f>
        <v>0</v>
      </c>
      <c r="W10" s="1">
        <f>MEDIAN($E10,$J10,$O10)</f>
        <v>0</v>
      </c>
      <c r="X10" s="1">
        <f>MEDIAN($F10,$K10,$P10)</f>
        <v>0</v>
      </c>
      <c r="Y10" s="1">
        <f>MAX($B10,$G10,$L10)</f>
        <v>0</v>
      </c>
      <c r="Z10" s="1">
        <f>MAX($C10,$H10,$M10)</f>
        <v>0</v>
      </c>
      <c r="AA10" s="1">
        <f>MAX($E10,$J10,$O10)</f>
        <v>0</v>
      </c>
      <c r="AB10" s="1">
        <f>MAX($F10,$K10,$P10)</f>
        <v>0</v>
      </c>
    </row>
    <row r="11" spans="1:28">
      <c r="A11" s="1" t="s">
        <v>8</v>
      </c>
      <c r="B11" s="1">
        <v>36.1</v>
      </c>
      <c r="C11" s="1">
        <v>14.45</v>
      </c>
      <c r="D11" s="1" t="s">
        <v>48</v>
      </c>
      <c r="E11" s="1">
        <v>2361888</v>
      </c>
      <c r="F11" s="1">
        <v>29.493</v>
      </c>
      <c r="G11" s="1">
        <v>9.33</v>
      </c>
      <c r="H11" s="1">
        <v>0.6</v>
      </c>
      <c r="I11" s="1" t="s">
        <v>48</v>
      </c>
      <c r="J11" s="1">
        <v>173907</v>
      </c>
      <c r="K11" s="1">
        <v>3.056</v>
      </c>
      <c r="L11" s="1">
        <v>18.8</v>
      </c>
      <c r="M11" s="1">
        <v>9.130000000000001</v>
      </c>
      <c r="N11" s="1" t="s">
        <v>48</v>
      </c>
      <c r="O11" s="1">
        <v>173907</v>
      </c>
      <c r="P11" s="1">
        <v>11.392</v>
      </c>
      <c r="Q11" s="1">
        <f>MIN($B11,$G11,$L11)</f>
        <v>0</v>
      </c>
      <c r="R11" s="1">
        <f>MIN($C11,$H11,$M11)</f>
        <v>0</v>
      </c>
      <c r="S11" s="1">
        <f>MIN($E11,$J11,$O11)</f>
        <v>0</v>
      </c>
      <c r="T11" s="1">
        <f>MIN($F11,$K11,$P11)</f>
        <v>0</v>
      </c>
      <c r="U11" s="1">
        <f>MEDIAN($B11,$G11,$L11)</f>
        <v>0</v>
      </c>
      <c r="V11" s="1">
        <f>MEDIAN($C11,$H11,$M11)</f>
        <v>0</v>
      </c>
      <c r="W11" s="1">
        <f>MEDIAN($E11,$J11,$O11)</f>
        <v>0</v>
      </c>
      <c r="X11" s="1">
        <f>MEDIAN($F11,$K11,$P11)</f>
        <v>0</v>
      </c>
      <c r="Y11" s="1">
        <f>MAX($B11,$G11,$L11)</f>
        <v>0</v>
      </c>
      <c r="Z11" s="1">
        <f>MAX($C11,$H11,$M11)</f>
        <v>0</v>
      </c>
      <c r="AA11" s="1">
        <f>MAX($E11,$J11,$O11)</f>
        <v>0</v>
      </c>
      <c r="AB11" s="1">
        <f>MAX($F11,$K11,$P11)</f>
        <v>0</v>
      </c>
    </row>
    <row r="12" spans="1:28">
      <c r="A12" s="1" t="s">
        <v>9</v>
      </c>
      <c r="B12" s="1">
        <v>12.56</v>
      </c>
      <c r="C12" s="1">
        <v>0.16</v>
      </c>
      <c r="D12" s="1" t="s">
        <v>48</v>
      </c>
      <c r="E12" s="1">
        <v>367974</v>
      </c>
      <c r="F12" s="1">
        <v>5.959</v>
      </c>
      <c r="G12" s="1">
        <v>13.72</v>
      </c>
      <c r="H12" s="1">
        <v>0.62</v>
      </c>
      <c r="I12" s="1" t="s">
        <v>48</v>
      </c>
      <c r="J12" s="1">
        <v>326578</v>
      </c>
      <c r="K12" s="1">
        <v>4.957</v>
      </c>
      <c r="L12" s="1">
        <v>25.64</v>
      </c>
      <c r="M12" s="1">
        <v>14.4</v>
      </c>
      <c r="N12" s="1" t="s">
        <v>48</v>
      </c>
      <c r="O12" s="1">
        <v>326578</v>
      </c>
      <c r="P12" s="1">
        <v>18.671</v>
      </c>
      <c r="Q12" s="1">
        <f>MIN($B12,$G12,$L12)</f>
        <v>0</v>
      </c>
      <c r="R12" s="1">
        <f>MIN($C12,$H12,$M12)</f>
        <v>0</v>
      </c>
      <c r="S12" s="1">
        <f>MIN($E12,$J12,$O12)</f>
        <v>0</v>
      </c>
      <c r="T12" s="1">
        <f>MIN($F12,$K12,$P12)</f>
        <v>0</v>
      </c>
      <c r="U12" s="1">
        <f>MEDIAN($B12,$G12,$L12)</f>
        <v>0</v>
      </c>
      <c r="V12" s="1">
        <f>MEDIAN($C12,$H12,$M12)</f>
        <v>0</v>
      </c>
      <c r="W12" s="1">
        <f>MEDIAN($E12,$J12,$O12)</f>
        <v>0</v>
      </c>
      <c r="X12" s="1">
        <f>MEDIAN($F12,$K12,$P12)</f>
        <v>0</v>
      </c>
      <c r="Y12" s="1">
        <f>MAX($B12,$G12,$L12)</f>
        <v>0</v>
      </c>
      <c r="Z12" s="1">
        <f>MAX($C12,$H12,$M12)</f>
        <v>0</v>
      </c>
      <c r="AA12" s="1">
        <f>MAX($E12,$J12,$O12)</f>
        <v>0</v>
      </c>
      <c r="AB12" s="1">
        <f>MAX($F12,$K12,$P12)</f>
        <v>0</v>
      </c>
    </row>
    <row r="13" spans="1:28">
      <c r="A13" s="1" t="s">
        <v>10</v>
      </c>
      <c r="B13" s="1">
        <v>1200</v>
      </c>
      <c r="C13" s="1"/>
      <c r="D13" s="1"/>
      <c r="E13" s="1"/>
      <c r="F13" s="1"/>
      <c r="G13" s="1">
        <v>38.8</v>
      </c>
      <c r="H13" s="1">
        <v>25.05</v>
      </c>
      <c r="I13" s="1" t="s">
        <v>48</v>
      </c>
      <c r="J13" s="1">
        <v>326689</v>
      </c>
      <c r="K13" s="1">
        <v>29.447</v>
      </c>
      <c r="L13" s="1">
        <v>51.85</v>
      </c>
      <c r="M13" s="1">
        <v>39.4</v>
      </c>
      <c r="N13" s="1" t="s">
        <v>48</v>
      </c>
      <c r="O13" s="1">
        <v>326689</v>
      </c>
      <c r="P13" s="1">
        <v>43.633</v>
      </c>
      <c r="Q13" s="1">
        <f>MIN($B13,$G13,$L13)</f>
        <v>0</v>
      </c>
      <c r="R13" s="1">
        <f>MIN($C13,$H13,$M13)</f>
        <v>0</v>
      </c>
      <c r="S13" s="1">
        <f>MIN($E13,$J13,$O13)</f>
        <v>0</v>
      </c>
      <c r="T13" s="1">
        <f>MIN($F13,$K13,$P13)</f>
        <v>0</v>
      </c>
      <c r="U13" s="1">
        <f>MEDIAN($B13,$G13,$L13)</f>
        <v>0</v>
      </c>
      <c r="V13" s="1">
        <f>MEDIAN($C13,$H13,$M13)</f>
        <v>0</v>
      </c>
      <c r="W13" s="1">
        <f>MEDIAN($E13,$J13,$O13)</f>
        <v>0</v>
      </c>
      <c r="X13" s="1">
        <f>MEDIAN($F13,$K13,$P13)</f>
        <v>0</v>
      </c>
      <c r="Y13" s="1">
        <f>MAX($B13,$G13,$L13)</f>
        <v>0</v>
      </c>
      <c r="Z13" s="1">
        <f>MAX($C13,$H13,$M13)</f>
        <v>0</v>
      </c>
      <c r="AA13" s="1">
        <f>MAX($E13,$J13,$O13)</f>
        <v>0</v>
      </c>
      <c r="AB13" s="1">
        <f>MAX($F13,$K13,$P13)</f>
        <v>0</v>
      </c>
    </row>
    <row r="14" spans="1:28">
      <c r="A14" s="1" t="s">
        <v>11</v>
      </c>
      <c r="B14" s="1">
        <v>1200</v>
      </c>
      <c r="C14" s="1"/>
      <c r="D14" s="1"/>
      <c r="E14" s="1"/>
      <c r="F14" s="1"/>
      <c r="G14" s="1">
        <v>40.16</v>
      </c>
      <c r="H14" s="1">
        <v>29.35</v>
      </c>
      <c r="I14" s="1" t="s">
        <v>48</v>
      </c>
      <c r="J14" s="1">
        <v>326689</v>
      </c>
      <c r="K14" s="1">
        <v>34.035</v>
      </c>
      <c r="L14" s="1">
        <v>51.63</v>
      </c>
      <c r="M14" s="1">
        <v>39.29</v>
      </c>
      <c r="N14" s="1" t="s">
        <v>48</v>
      </c>
      <c r="O14" s="1">
        <v>326689</v>
      </c>
      <c r="P14" s="1">
        <v>43.737</v>
      </c>
      <c r="Q14" s="1">
        <f>MIN($B14,$G14,$L14)</f>
        <v>0</v>
      </c>
      <c r="R14" s="1">
        <f>MIN($C14,$H14,$M14)</f>
        <v>0</v>
      </c>
      <c r="S14" s="1">
        <f>MIN($E14,$J14,$O14)</f>
        <v>0</v>
      </c>
      <c r="T14" s="1">
        <f>MIN($F14,$K14,$P14)</f>
        <v>0</v>
      </c>
      <c r="U14" s="1">
        <f>MEDIAN($B14,$G14,$L14)</f>
        <v>0</v>
      </c>
      <c r="V14" s="1">
        <f>MEDIAN($C14,$H14,$M14)</f>
        <v>0</v>
      </c>
      <c r="W14" s="1">
        <f>MEDIAN($E14,$J14,$O14)</f>
        <v>0</v>
      </c>
      <c r="X14" s="1">
        <f>MEDIAN($F14,$K14,$P14)</f>
        <v>0</v>
      </c>
      <c r="Y14" s="1">
        <f>MAX($B14,$G14,$L14)</f>
        <v>0</v>
      </c>
      <c r="Z14" s="1">
        <f>MAX($C14,$H14,$M14)</f>
        <v>0</v>
      </c>
      <c r="AA14" s="1">
        <f>MAX($E14,$J14,$O14)</f>
        <v>0</v>
      </c>
      <c r="AB14" s="1">
        <f>MAX($F14,$K14,$P14)</f>
        <v>0</v>
      </c>
    </row>
    <row r="15" spans="1:28">
      <c r="A15" s="1" t="s">
        <v>12</v>
      </c>
      <c r="B15" s="1">
        <v>1200</v>
      </c>
      <c r="C15" s="1"/>
      <c r="D15" s="1"/>
      <c r="E15" s="1"/>
      <c r="F15" s="1"/>
      <c r="G15" s="1">
        <v>135.82</v>
      </c>
      <c r="H15" s="1">
        <v>122.25</v>
      </c>
      <c r="I15" s="1" t="s">
        <v>48</v>
      </c>
      <c r="J15" s="1">
        <v>326689</v>
      </c>
      <c r="K15" s="1">
        <v>126.721</v>
      </c>
      <c r="L15" s="1">
        <v>53.43</v>
      </c>
      <c r="M15" s="1">
        <v>41.82</v>
      </c>
      <c r="N15" s="1" t="s">
        <v>48</v>
      </c>
      <c r="O15" s="1">
        <v>326689</v>
      </c>
      <c r="P15" s="1">
        <v>47.03</v>
      </c>
      <c r="Q15" s="1">
        <f>MIN($B15,$G15,$L15)</f>
        <v>0</v>
      </c>
      <c r="R15" s="1">
        <f>MIN($C15,$H15,$M15)</f>
        <v>0</v>
      </c>
      <c r="S15" s="1">
        <f>MIN($E15,$J15,$O15)</f>
        <v>0</v>
      </c>
      <c r="T15" s="1">
        <f>MIN($F15,$K15,$P15)</f>
        <v>0</v>
      </c>
      <c r="U15" s="1">
        <f>MEDIAN($B15,$G15,$L15)</f>
        <v>0</v>
      </c>
      <c r="V15" s="1">
        <f>MEDIAN($C15,$H15,$M15)</f>
        <v>0</v>
      </c>
      <c r="W15" s="1">
        <f>MEDIAN($E15,$J15,$O15)</f>
        <v>0</v>
      </c>
      <c r="X15" s="1">
        <f>MEDIAN($F15,$K15,$P15)</f>
        <v>0</v>
      </c>
      <c r="Y15" s="1">
        <f>MAX($B15,$G15,$L15)</f>
        <v>0</v>
      </c>
      <c r="Z15" s="1">
        <f>MAX($C15,$H15,$M15)</f>
        <v>0</v>
      </c>
      <c r="AA15" s="1">
        <f>MAX($E15,$J15,$O15)</f>
        <v>0</v>
      </c>
      <c r="AB15" s="1">
        <f>MAX($F15,$K15,$P15)</f>
        <v>0</v>
      </c>
    </row>
    <row r="16" spans="1:28">
      <c r="A16" s="1" t="s">
        <v>13</v>
      </c>
      <c r="B16" s="1">
        <v>1200</v>
      </c>
      <c r="C16" s="1">
        <v>0</v>
      </c>
      <c r="D16" s="1" t="s">
        <v>49</v>
      </c>
      <c r="E16" s="1">
        <v>0</v>
      </c>
      <c r="F16" s="1">
        <v>259.737</v>
      </c>
      <c r="G16" s="1">
        <v>48.42</v>
      </c>
      <c r="H16" s="1">
        <v>37.08</v>
      </c>
      <c r="I16" s="1" t="s">
        <v>48</v>
      </c>
      <c r="J16" s="1">
        <v>326689</v>
      </c>
      <c r="K16" s="1">
        <v>41.793</v>
      </c>
      <c r="L16" s="1">
        <v>50.76</v>
      </c>
      <c r="M16" s="1">
        <v>39.94</v>
      </c>
      <c r="N16" s="1" t="s">
        <v>48</v>
      </c>
      <c r="O16" s="1">
        <v>326689</v>
      </c>
      <c r="P16" s="1">
        <v>44.231</v>
      </c>
      <c r="Q16" s="1">
        <f>MIN($B16,$G16,$L16)</f>
        <v>0</v>
      </c>
      <c r="R16" s="1">
        <f>MIN($C16,$H16,$M16)</f>
        <v>0</v>
      </c>
      <c r="S16" s="1">
        <f>MIN($E16,$J16,$O16)</f>
        <v>0</v>
      </c>
      <c r="T16" s="1">
        <f>MIN($F16,$K16,$P16)</f>
        <v>0</v>
      </c>
      <c r="U16" s="1">
        <f>MEDIAN($B16,$G16,$L16)</f>
        <v>0</v>
      </c>
      <c r="V16" s="1">
        <f>MEDIAN($C16,$H16,$M16)</f>
        <v>0</v>
      </c>
      <c r="W16" s="1">
        <f>MEDIAN($E16,$J16,$O16)</f>
        <v>0</v>
      </c>
      <c r="X16" s="1">
        <f>MEDIAN($F16,$K16,$P16)</f>
        <v>0</v>
      </c>
      <c r="Y16" s="1">
        <f>MAX($B16,$G16,$L16)</f>
        <v>0</v>
      </c>
      <c r="Z16" s="1">
        <f>MAX($C16,$H16,$M16)</f>
        <v>0</v>
      </c>
      <c r="AA16" s="1">
        <f>MAX($E16,$J16,$O16)</f>
        <v>0</v>
      </c>
      <c r="AB16" s="1">
        <f>MAX($F16,$K16,$P16)</f>
        <v>0</v>
      </c>
    </row>
    <row r="17" spans="1:28">
      <c r="A17" s="1" t="s">
        <v>14</v>
      </c>
      <c r="B17" s="1">
        <v>1200</v>
      </c>
      <c r="C17" s="1">
        <v>0</v>
      </c>
      <c r="D17" s="1" t="s">
        <v>49</v>
      </c>
      <c r="E17" s="1">
        <v>0</v>
      </c>
      <c r="F17" s="1">
        <v>263.801</v>
      </c>
      <c r="G17" s="1">
        <v>92.37</v>
      </c>
      <c r="H17" s="1">
        <v>79.2</v>
      </c>
      <c r="I17" s="1" t="s">
        <v>48</v>
      </c>
      <c r="J17" s="1">
        <v>326689</v>
      </c>
      <c r="K17" s="1">
        <v>83.68000000000001</v>
      </c>
      <c r="L17" s="1">
        <v>63.72</v>
      </c>
      <c r="M17" s="1">
        <v>51.78</v>
      </c>
      <c r="N17" s="1" t="s">
        <v>48</v>
      </c>
      <c r="O17" s="1">
        <v>326689</v>
      </c>
      <c r="P17" s="1">
        <v>57.285</v>
      </c>
      <c r="Q17" s="1">
        <f>MIN($B17,$G17,$L17)</f>
        <v>0</v>
      </c>
      <c r="R17" s="1">
        <f>MIN($C17,$H17,$M17)</f>
        <v>0</v>
      </c>
      <c r="S17" s="1">
        <f>MIN($E17,$J17,$O17)</f>
        <v>0</v>
      </c>
      <c r="T17" s="1">
        <f>MIN($F17,$K17,$P17)</f>
        <v>0</v>
      </c>
      <c r="U17" s="1">
        <f>MEDIAN($B17,$G17,$L17)</f>
        <v>0</v>
      </c>
      <c r="V17" s="1">
        <f>MEDIAN($C17,$H17,$M17)</f>
        <v>0</v>
      </c>
      <c r="W17" s="1">
        <f>MEDIAN($E17,$J17,$O17)</f>
        <v>0</v>
      </c>
      <c r="X17" s="1">
        <f>MEDIAN($F17,$K17,$P17)</f>
        <v>0</v>
      </c>
      <c r="Y17" s="1">
        <f>MAX($B17,$G17,$L17)</f>
        <v>0</v>
      </c>
      <c r="Z17" s="1">
        <f>MAX($C17,$H17,$M17)</f>
        <v>0</v>
      </c>
      <c r="AA17" s="1">
        <f>MAX($E17,$J17,$O17)</f>
        <v>0</v>
      </c>
      <c r="AB17" s="1">
        <f>MAX($F17,$K17,$P17)</f>
        <v>0</v>
      </c>
    </row>
    <row r="18" spans="1:28">
      <c r="A18" s="1" t="s">
        <v>15</v>
      </c>
      <c r="B18" s="1">
        <v>1200</v>
      </c>
      <c r="C18" s="1">
        <v>0</v>
      </c>
      <c r="D18" s="1" t="s">
        <v>49</v>
      </c>
      <c r="E18" s="1">
        <v>0</v>
      </c>
      <c r="F18" s="1">
        <v>256.978</v>
      </c>
      <c r="G18" s="1">
        <v>19.59</v>
      </c>
      <c r="H18" s="1">
        <v>8.300000000000001</v>
      </c>
      <c r="I18" s="1" t="s">
        <v>48</v>
      </c>
      <c r="J18" s="1">
        <v>326689</v>
      </c>
      <c r="K18" s="1">
        <v>13.005</v>
      </c>
      <c r="L18" s="1">
        <v>52.13</v>
      </c>
      <c r="M18" s="1">
        <v>39.09</v>
      </c>
      <c r="N18" s="1" t="s">
        <v>48</v>
      </c>
      <c r="O18" s="1">
        <v>326689</v>
      </c>
      <c r="P18" s="1">
        <v>43.358</v>
      </c>
      <c r="Q18" s="1">
        <f>MIN($B18,$G18,$L18)</f>
        <v>0</v>
      </c>
      <c r="R18" s="1">
        <f>MIN($C18,$H18,$M18)</f>
        <v>0</v>
      </c>
      <c r="S18" s="1">
        <f>MIN($E18,$J18,$O18)</f>
        <v>0</v>
      </c>
      <c r="T18" s="1">
        <f>MIN($F18,$K18,$P18)</f>
        <v>0</v>
      </c>
      <c r="U18" s="1">
        <f>MEDIAN($B18,$G18,$L18)</f>
        <v>0</v>
      </c>
      <c r="V18" s="1">
        <f>MEDIAN($C18,$H18,$M18)</f>
        <v>0</v>
      </c>
      <c r="W18" s="1">
        <f>MEDIAN($E18,$J18,$O18)</f>
        <v>0</v>
      </c>
      <c r="X18" s="1">
        <f>MEDIAN($F18,$K18,$P18)</f>
        <v>0</v>
      </c>
      <c r="Y18" s="1">
        <f>MAX($B18,$G18,$L18)</f>
        <v>0</v>
      </c>
      <c r="Z18" s="1">
        <f>MAX($C18,$H18,$M18)</f>
        <v>0</v>
      </c>
      <c r="AA18" s="1">
        <f>MAX($E18,$J18,$O18)</f>
        <v>0</v>
      </c>
      <c r="AB18" s="1">
        <f>MAX($F18,$K18,$P18)</f>
        <v>0</v>
      </c>
    </row>
    <row r="19" spans="1:28">
      <c r="A19" s="1" t="s">
        <v>16</v>
      </c>
      <c r="B19" s="1">
        <v>1200</v>
      </c>
      <c r="C19" s="1">
        <v>0</v>
      </c>
      <c r="D19" s="1" t="s">
        <v>49</v>
      </c>
      <c r="E19" s="1">
        <v>0</v>
      </c>
      <c r="F19" s="1">
        <v>214.776</v>
      </c>
      <c r="G19" s="1">
        <v>46.91</v>
      </c>
      <c r="H19" s="1">
        <v>33.01</v>
      </c>
      <c r="I19" s="1" t="s">
        <v>48</v>
      </c>
      <c r="J19" s="1">
        <v>326689</v>
      </c>
      <c r="K19" s="1">
        <v>37.626</v>
      </c>
      <c r="L19" s="1">
        <v>50.29</v>
      </c>
      <c r="M19" s="1">
        <v>39.58</v>
      </c>
      <c r="N19" s="1" t="s">
        <v>48</v>
      </c>
      <c r="O19" s="1">
        <v>326689</v>
      </c>
      <c r="P19" s="1">
        <v>43.841</v>
      </c>
      <c r="Q19" s="1">
        <f>MIN($B19,$G19,$L19)</f>
        <v>0</v>
      </c>
      <c r="R19" s="1">
        <f>MIN($C19,$H19,$M19)</f>
        <v>0</v>
      </c>
      <c r="S19" s="1">
        <f>MIN($E19,$J19,$O19)</f>
        <v>0</v>
      </c>
      <c r="T19" s="1">
        <f>MIN($F19,$K19,$P19)</f>
        <v>0</v>
      </c>
      <c r="U19" s="1">
        <f>MEDIAN($B19,$G19,$L19)</f>
        <v>0</v>
      </c>
      <c r="V19" s="1">
        <f>MEDIAN($C19,$H19,$M19)</f>
        <v>0</v>
      </c>
      <c r="W19" s="1">
        <f>MEDIAN($E19,$J19,$O19)</f>
        <v>0</v>
      </c>
      <c r="X19" s="1">
        <f>MEDIAN($F19,$K19,$P19)</f>
        <v>0</v>
      </c>
      <c r="Y19" s="1">
        <f>MAX($B19,$G19,$L19)</f>
        <v>0</v>
      </c>
      <c r="Z19" s="1">
        <f>MAX($C19,$H19,$M19)</f>
        <v>0</v>
      </c>
      <c r="AA19" s="1">
        <f>MAX($E19,$J19,$O19)</f>
        <v>0</v>
      </c>
      <c r="AB19" s="1">
        <f>MAX($F19,$K19,$P19)</f>
        <v>0</v>
      </c>
    </row>
    <row r="20" spans="1:28">
      <c r="A20" s="1" t="s">
        <v>17</v>
      </c>
      <c r="B20" s="1">
        <v>422.24</v>
      </c>
      <c r="C20" s="1">
        <v>397.66</v>
      </c>
      <c r="D20" s="1" t="s">
        <v>48</v>
      </c>
      <c r="E20" s="1">
        <v>2512383</v>
      </c>
      <c r="F20" s="1">
        <v>415.351</v>
      </c>
      <c r="G20" s="1">
        <v>62.27</v>
      </c>
      <c r="H20" s="1">
        <v>48.77</v>
      </c>
      <c r="I20" s="1" t="s">
        <v>48</v>
      </c>
      <c r="J20" s="1">
        <v>326689</v>
      </c>
      <c r="K20" s="1">
        <v>53.164</v>
      </c>
      <c r="L20" s="1">
        <v>42.93</v>
      </c>
      <c r="M20" s="1">
        <v>31.79</v>
      </c>
      <c r="N20" s="1" t="s">
        <v>48</v>
      </c>
      <c r="O20" s="1">
        <v>326689</v>
      </c>
      <c r="P20" s="1">
        <v>36.06</v>
      </c>
      <c r="Q20" s="1">
        <f>MIN($B20,$G20,$L20)</f>
        <v>0</v>
      </c>
      <c r="R20" s="1">
        <f>MIN($C20,$H20,$M20)</f>
        <v>0</v>
      </c>
      <c r="S20" s="1">
        <f>MIN($E20,$J20,$O20)</f>
        <v>0</v>
      </c>
      <c r="T20" s="1">
        <f>MIN($F20,$K20,$P20)</f>
        <v>0</v>
      </c>
      <c r="U20" s="1">
        <f>MEDIAN($B20,$G20,$L20)</f>
        <v>0</v>
      </c>
      <c r="V20" s="1">
        <f>MEDIAN($C20,$H20,$M20)</f>
        <v>0</v>
      </c>
      <c r="W20" s="1">
        <f>MEDIAN($E20,$J20,$O20)</f>
        <v>0</v>
      </c>
      <c r="X20" s="1">
        <f>MEDIAN($F20,$K20,$P20)</f>
        <v>0</v>
      </c>
      <c r="Y20" s="1">
        <f>MAX($B20,$G20,$L20)</f>
        <v>0</v>
      </c>
      <c r="Z20" s="1">
        <f>MAX($C20,$H20,$M20)</f>
        <v>0</v>
      </c>
      <c r="AA20" s="1">
        <f>MAX($E20,$J20,$O20)</f>
        <v>0</v>
      </c>
      <c r="AB20" s="1">
        <f>MAX($F20,$K20,$P20)</f>
        <v>0</v>
      </c>
    </row>
    <row r="21" spans="1:28">
      <c r="A21" s="1" t="s">
        <v>18</v>
      </c>
      <c r="B21" s="1">
        <v>16.58</v>
      </c>
      <c r="C21" s="1">
        <v>1.91</v>
      </c>
      <c r="D21" s="1" t="s">
        <v>48</v>
      </c>
      <c r="E21" s="1">
        <v>520090</v>
      </c>
      <c r="F21" s="1">
        <v>10.321</v>
      </c>
      <c r="G21" s="1">
        <v>17.25</v>
      </c>
      <c r="H21" s="1">
        <v>1.25</v>
      </c>
      <c r="I21" s="1" t="s">
        <v>48</v>
      </c>
      <c r="J21" s="1">
        <v>480980</v>
      </c>
      <c r="K21" s="1">
        <v>7.809</v>
      </c>
      <c r="L21" s="1">
        <v>29.38</v>
      </c>
      <c r="M21" s="1">
        <v>14.26</v>
      </c>
      <c r="N21" s="1" t="s">
        <v>48</v>
      </c>
      <c r="O21" s="1">
        <v>480980</v>
      </c>
      <c r="P21" s="1">
        <v>20.761</v>
      </c>
      <c r="Q21" s="1">
        <f>MIN($B21,$G21,$L21)</f>
        <v>0</v>
      </c>
      <c r="R21" s="1">
        <f>MIN($C21,$H21,$M21)</f>
        <v>0</v>
      </c>
      <c r="S21" s="1">
        <f>MIN($E21,$J21,$O21)</f>
        <v>0</v>
      </c>
      <c r="T21" s="1">
        <f>MIN($F21,$K21,$P21)</f>
        <v>0</v>
      </c>
      <c r="U21" s="1">
        <f>MEDIAN($B21,$G21,$L21)</f>
        <v>0</v>
      </c>
      <c r="V21" s="1">
        <f>MEDIAN($C21,$H21,$M21)</f>
        <v>0</v>
      </c>
      <c r="W21" s="1">
        <f>MEDIAN($E21,$J21,$O21)</f>
        <v>0</v>
      </c>
      <c r="X21" s="1">
        <f>MEDIAN($F21,$K21,$P21)</f>
        <v>0</v>
      </c>
      <c r="Y21" s="1">
        <f>MAX($B21,$G21,$L21)</f>
        <v>0</v>
      </c>
      <c r="Z21" s="1">
        <f>MAX($C21,$H21,$M21)</f>
        <v>0</v>
      </c>
      <c r="AA21" s="1">
        <f>MAX($E21,$J21,$O21)</f>
        <v>0</v>
      </c>
      <c r="AB21" s="1">
        <f>MAX($F21,$K21,$P21)</f>
        <v>0</v>
      </c>
    </row>
    <row r="22" spans="1:28">
      <c r="A22" s="1" t="s">
        <v>19</v>
      </c>
      <c r="B22" s="1">
        <v>1200</v>
      </c>
      <c r="C22" s="1"/>
      <c r="D22" s="1"/>
      <c r="E22" s="1"/>
      <c r="F22" s="1"/>
      <c r="G22" s="1">
        <v>68.37</v>
      </c>
      <c r="H22" s="1">
        <v>52.34</v>
      </c>
      <c r="I22" s="1" t="s">
        <v>48</v>
      </c>
      <c r="J22" s="1">
        <v>481091</v>
      </c>
      <c r="K22" s="1">
        <v>58.924</v>
      </c>
      <c r="L22" s="1">
        <v>328.34</v>
      </c>
      <c r="M22" s="1">
        <v>314.06</v>
      </c>
      <c r="N22" s="1" t="s">
        <v>48</v>
      </c>
      <c r="O22" s="1">
        <v>481091</v>
      </c>
      <c r="P22" s="1">
        <v>321.997</v>
      </c>
      <c r="Q22" s="1">
        <f>MIN($B22,$G22,$L22)</f>
        <v>0</v>
      </c>
      <c r="R22" s="1">
        <f>MIN($C22,$H22,$M22)</f>
        <v>0</v>
      </c>
      <c r="S22" s="1">
        <f>MIN($E22,$J22,$O22)</f>
        <v>0</v>
      </c>
      <c r="T22" s="1">
        <f>MIN($F22,$K22,$P22)</f>
        <v>0</v>
      </c>
      <c r="U22" s="1">
        <f>MEDIAN($B22,$G22,$L22)</f>
        <v>0</v>
      </c>
      <c r="V22" s="1">
        <f>MEDIAN($C22,$H22,$M22)</f>
        <v>0</v>
      </c>
      <c r="W22" s="1">
        <f>MEDIAN($E22,$J22,$O22)</f>
        <v>0</v>
      </c>
      <c r="X22" s="1">
        <f>MEDIAN($F22,$K22,$P22)</f>
        <v>0</v>
      </c>
      <c r="Y22" s="1">
        <f>MAX($B22,$G22,$L22)</f>
        <v>0</v>
      </c>
      <c r="Z22" s="1">
        <f>MAX($C22,$H22,$M22)</f>
        <v>0</v>
      </c>
      <c r="AA22" s="1">
        <f>MAX($E22,$J22,$O22)</f>
        <v>0</v>
      </c>
      <c r="AB22" s="1">
        <f>MAX($F22,$K22,$P22)</f>
        <v>0</v>
      </c>
    </row>
    <row r="23" spans="1:28">
      <c r="A23" s="1" t="s">
        <v>20</v>
      </c>
      <c r="B23" s="1">
        <v>1200</v>
      </c>
      <c r="C23" s="1"/>
      <c r="D23" s="1"/>
      <c r="E23" s="1"/>
      <c r="F23" s="1"/>
      <c r="G23" s="1">
        <v>296.38</v>
      </c>
      <c r="H23" s="1">
        <v>283.21</v>
      </c>
      <c r="I23" s="1" t="s">
        <v>48</v>
      </c>
      <c r="J23" s="1">
        <v>481091</v>
      </c>
      <c r="K23" s="1">
        <v>290.57</v>
      </c>
      <c r="L23" s="1">
        <v>286.43</v>
      </c>
      <c r="M23" s="1">
        <v>271.62</v>
      </c>
      <c r="N23" s="1" t="s">
        <v>48</v>
      </c>
      <c r="O23" s="1">
        <v>481091</v>
      </c>
      <c r="P23" s="1">
        <v>278.021</v>
      </c>
      <c r="Q23" s="1">
        <f>MIN($B23,$G23,$L23)</f>
        <v>0</v>
      </c>
      <c r="R23" s="1">
        <f>MIN($C23,$H23,$M23)</f>
        <v>0</v>
      </c>
      <c r="S23" s="1">
        <f>MIN($E23,$J23,$O23)</f>
        <v>0</v>
      </c>
      <c r="T23" s="1">
        <f>MIN($F23,$K23,$P23)</f>
        <v>0</v>
      </c>
      <c r="U23" s="1">
        <f>MEDIAN($B23,$G23,$L23)</f>
        <v>0</v>
      </c>
      <c r="V23" s="1">
        <f>MEDIAN($C23,$H23,$M23)</f>
        <v>0</v>
      </c>
      <c r="W23" s="1">
        <f>MEDIAN($E23,$J23,$O23)</f>
        <v>0</v>
      </c>
      <c r="X23" s="1">
        <f>MEDIAN($F23,$K23,$P23)</f>
        <v>0</v>
      </c>
      <c r="Y23" s="1">
        <f>MAX($B23,$G23,$L23)</f>
        <v>0</v>
      </c>
      <c r="Z23" s="1">
        <f>MAX($C23,$H23,$M23)</f>
        <v>0</v>
      </c>
      <c r="AA23" s="1">
        <f>MAX($E23,$J23,$O23)</f>
        <v>0</v>
      </c>
      <c r="AB23" s="1">
        <f>MAX($F23,$K23,$P23)</f>
        <v>0</v>
      </c>
    </row>
    <row r="24" spans="1:28">
      <c r="A24" s="1" t="s">
        <v>21</v>
      </c>
      <c r="B24" s="1">
        <v>1200</v>
      </c>
      <c r="C24" s="1"/>
      <c r="D24" s="1"/>
      <c r="E24" s="1"/>
      <c r="F24" s="1"/>
      <c r="G24" s="1">
        <v>73.62</v>
      </c>
      <c r="H24" s="1">
        <v>57.53</v>
      </c>
      <c r="I24" s="1" t="s">
        <v>48</v>
      </c>
      <c r="J24" s="1">
        <v>481091</v>
      </c>
      <c r="K24" s="1">
        <v>64.11199999999999</v>
      </c>
      <c r="L24" s="1">
        <v>271.99</v>
      </c>
      <c r="M24" s="1">
        <v>257.58</v>
      </c>
      <c r="N24" s="1" t="s">
        <v>48</v>
      </c>
      <c r="O24" s="1">
        <v>481091</v>
      </c>
      <c r="P24" s="1">
        <v>264.049</v>
      </c>
      <c r="Q24" s="1">
        <f>MIN($B24,$G24,$L24)</f>
        <v>0</v>
      </c>
      <c r="R24" s="1">
        <f>MIN($C24,$H24,$M24)</f>
        <v>0</v>
      </c>
      <c r="S24" s="1">
        <f>MIN($E24,$J24,$O24)</f>
        <v>0</v>
      </c>
      <c r="T24" s="1">
        <f>MIN($F24,$K24,$P24)</f>
        <v>0</v>
      </c>
      <c r="U24" s="1">
        <f>MEDIAN($B24,$G24,$L24)</f>
        <v>0</v>
      </c>
      <c r="V24" s="1">
        <f>MEDIAN($C24,$H24,$M24)</f>
        <v>0</v>
      </c>
      <c r="W24" s="1">
        <f>MEDIAN($E24,$J24,$O24)</f>
        <v>0</v>
      </c>
      <c r="X24" s="1">
        <f>MEDIAN($F24,$K24,$P24)</f>
        <v>0</v>
      </c>
      <c r="Y24" s="1">
        <f>MAX($B24,$G24,$L24)</f>
        <v>0</v>
      </c>
      <c r="Z24" s="1">
        <f>MAX($C24,$H24,$M24)</f>
        <v>0</v>
      </c>
      <c r="AA24" s="1">
        <f>MAX($E24,$J24,$O24)</f>
        <v>0</v>
      </c>
      <c r="AB24" s="1">
        <f>MAX($F24,$K24,$P24)</f>
        <v>0</v>
      </c>
    </row>
    <row r="25" spans="1:28">
      <c r="A25" s="1" t="s">
        <v>22</v>
      </c>
      <c r="B25" s="1">
        <v>1200</v>
      </c>
      <c r="C25" s="1">
        <v>0</v>
      </c>
      <c r="D25" s="1" t="s">
        <v>49</v>
      </c>
      <c r="E25" s="1">
        <v>0</v>
      </c>
      <c r="F25" s="1">
        <v>269.818</v>
      </c>
      <c r="G25" s="1">
        <v>131.91</v>
      </c>
      <c r="H25" s="1">
        <v>116.03</v>
      </c>
      <c r="I25" s="1" t="s">
        <v>48</v>
      </c>
      <c r="J25" s="1">
        <v>481091</v>
      </c>
      <c r="K25" s="1">
        <v>122.644</v>
      </c>
      <c r="L25" s="1">
        <v>274.62</v>
      </c>
      <c r="M25" s="1">
        <v>260.38</v>
      </c>
      <c r="N25" s="1" t="s">
        <v>48</v>
      </c>
      <c r="O25" s="1">
        <v>481091</v>
      </c>
      <c r="P25" s="1">
        <v>266.814</v>
      </c>
      <c r="Q25" s="1">
        <f>MIN($B25,$G25,$L25)</f>
        <v>0</v>
      </c>
      <c r="R25" s="1">
        <f>MIN($C25,$H25,$M25)</f>
        <v>0</v>
      </c>
      <c r="S25" s="1">
        <f>MIN($E25,$J25,$O25)</f>
        <v>0</v>
      </c>
      <c r="T25" s="1">
        <f>MIN($F25,$K25,$P25)</f>
        <v>0</v>
      </c>
      <c r="U25" s="1">
        <f>MEDIAN($B25,$G25,$L25)</f>
        <v>0</v>
      </c>
      <c r="V25" s="1">
        <f>MEDIAN($C25,$H25,$M25)</f>
        <v>0</v>
      </c>
      <c r="W25" s="1">
        <f>MEDIAN($E25,$J25,$O25)</f>
        <v>0</v>
      </c>
      <c r="X25" s="1">
        <f>MEDIAN($F25,$K25,$P25)</f>
        <v>0</v>
      </c>
      <c r="Y25" s="1">
        <f>MAX($B25,$G25,$L25)</f>
        <v>0</v>
      </c>
      <c r="Z25" s="1">
        <f>MAX($C25,$H25,$M25)</f>
        <v>0</v>
      </c>
      <c r="AA25" s="1">
        <f>MAX($E25,$J25,$O25)</f>
        <v>0</v>
      </c>
      <c r="AB25" s="1">
        <f>MAX($F25,$K25,$P25)</f>
        <v>0</v>
      </c>
    </row>
    <row r="26" spans="1:28">
      <c r="A26" s="1" t="s">
        <v>23</v>
      </c>
      <c r="B26" s="1">
        <v>1200</v>
      </c>
      <c r="C26" s="1">
        <v>0</v>
      </c>
      <c r="D26" s="1" t="s">
        <v>49</v>
      </c>
      <c r="E26" s="1">
        <v>0</v>
      </c>
      <c r="F26" s="1">
        <v>190.12</v>
      </c>
      <c r="G26" s="1">
        <v>40.67</v>
      </c>
      <c r="H26" s="1">
        <v>26.67</v>
      </c>
      <c r="I26" s="1" t="s">
        <v>48</v>
      </c>
      <c r="J26" s="1">
        <v>481091</v>
      </c>
      <c r="K26" s="1">
        <v>33.94</v>
      </c>
      <c r="L26" s="1">
        <v>282.52</v>
      </c>
      <c r="M26" s="1">
        <v>269.27</v>
      </c>
      <c r="N26" s="1" t="s">
        <v>48</v>
      </c>
      <c r="O26" s="1">
        <v>481091</v>
      </c>
      <c r="P26" s="1">
        <v>275.697</v>
      </c>
      <c r="Q26" s="1">
        <f>MIN($B26,$G26,$L26)</f>
        <v>0</v>
      </c>
      <c r="R26" s="1">
        <f>MIN($C26,$H26,$M26)</f>
        <v>0</v>
      </c>
      <c r="S26" s="1">
        <f>MIN($E26,$J26,$O26)</f>
        <v>0</v>
      </c>
      <c r="T26" s="1">
        <f>MIN($F26,$K26,$P26)</f>
        <v>0</v>
      </c>
      <c r="U26" s="1">
        <f>MEDIAN($B26,$G26,$L26)</f>
        <v>0</v>
      </c>
      <c r="V26" s="1">
        <f>MEDIAN($C26,$H26,$M26)</f>
        <v>0</v>
      </c>
      <c r="W26" s="1">
        <f>MEDIAN($E26,$J26,$O26)</f>
        <v>0</v>
      </c>
      <c r="X26" s="1">
        <f>MEDIAN($F26,$K26,$P26)</f>
        <v>0</v>
      </c>
      <c r="Y26" s="1">
        <f>MAX($B26,$G26,$L26)</f>
        <v>0</v>
      </c>
      <c r="Z26" s="1">
        <f>MAX($C26,$H26,$M26)</f>
        <v>0</v>
      </c>
      <c r="AA26" s="1">
        <f>MAX($E26,$J26,$O26)</f>
        <v>0</v>
      </c>
      <c r="AB26" s="1">
        <f>MAX($F26,$K26,$P26)</f>
        <v>0</v>
      </c>
    </row>
    <row r="27" spans="1:28">
      <c r="A27" s="1" t="s">
        <v>24</v>
      </c>
      <c r="B27" s="1">
        <v>1200</v>
      </c>
      <c r="C27" s="1">
        <v>0</v>
      </c>
      <c r="D27" s="1" t="s">
        <v>49</v>
      </c>
      <c r="E27" s="1">
        <v>0</v>
      </c>
      <c r="F27" s="1">
        <v>259.328</v>
      </c>
      <c r="G27" s="1">
        <v>38.28</v>
      </c>
      <c r="H27" s="1">
        <v>22.28</v>
      </c>
      <c r="I27" s="1" t="s">
        <v>48</v>
      </c>
      <c r="J27" s="1">
        <v>481091</v>
      </c>
      <c r="K27" s="1">
        <v>28.904</v>
      </c>
      <c r="L27" s="1">
        <v>283.7</v>
      </c>
      <c r="M27" s="1">
        <v>270.72</v>
      </c>
      <c r="N27" s="1" t="s">
        <v>48</v>
      </c>
      <c r="O27" s="1">
        <v>481091</v>
      </c>
      <c r="P27" s="1">
        <v>277.086</v>
      </c>
      <c r="Q27" s="1">
        <f>MIN($B27,$G27,$L27)</f>
        <v>0</v>
      </c>
      <c r="R27" s="1">
        <f>MIN($C27,$H27,$M27)</f>
        <v>0</v>
      </c>
      <c r="S27" s="1">
        <f>MIN($E27,$J27,$O27)</f>
        <v>0</v>
      </c>
      <c r="T27" s="1">
        <f>MIN($F27,$K27,$P27)</f>
        <v>0</v>
      </c>
      <c r="U27" s="1">
        <f>MEDIAN($B27,$G27,$L27)</f>
        <v>0</v>
      </c>
      <c r="V27" s="1">
        <f>MEDIAN($C27,$H27,$M27)</f>
        <v>0</v>
      </c>
      <c r="W27" s="1">
        <f>MEDIAN($E27,$J27,$O27)</f>
        <v>0</v>
      </c>
      <c r="X27" s="1">
        <f>MEDIAN($F27,$K27,$P27)</f>
        <v>0</v>
      </c>
      <c r="Y27" s="1">
        <f>MAX($B27,$G27,$L27)</f>
        <v>0</v>
      </c>
      <c r="Z27" s="1">
        <f>MAX($C27,$H27,$M27)</f>
        <v>0</v>
      </c>
      <c r="AA27" s="1">
        <f>MAX($E27,$J27,$O27)</f>
        <v>0</v>
      </c>
      <c r="AB27" s="1">
        <f>MAX($F27,$K27,$P27)</f>
        <v>0</v>
      </c>
    </row>
    <row r="28" spans="1:28">
      <c r="A28" s="1" t="s">
        <v>25</v>
      </c>
      <c r="B28" s="1">
        <v>1200</v>
      </c>
      <c r="C28" s="1">
        <v>0</v>
      </c>
      <c r="D28" s="1" t="s">
        <v>49</v>
      </c>
      <c r="E28" s="1">
        <v>0</v>
      </c>
      <c r="F28" s="1">
        <v>181.632</v>
      </c>
      <c r="G28" s="1">
        <v>150.09</v>
      </c>
      <c r="H28" s="1">
        <v>136.14</v>
      </c>
      <c r="I28" s="1" t="s">
        <v>48</v>
      </c>
      <c r="J28" s="1">
        <v>481091</v>
      </c>
      <c r="K28" s="1">
        <v>143.447</v>
      </c>
      <c r="L28" s="1">
        <v>283.45</v>
      </c>
      <c r="M28" s="1">
        <v>268.39</v>
      </c>
      <c r="N28" s="1" t="s">
        <v>48</v>
      </c>
      <c r="O28" s="1">
        <v>481091</v>
      </c>
      <c r="P28" s="1">
        <v>274.89</v>
      </c>
      <c r="Q28" s="1">
        <f>MIN($B28,$G28,$L28)</f>
        <v>0</v>
      </c>
      <c r="R28" s="1">
        <f>MIN($C28,$H28,$M28)</f>
        <v>0</v>
      </c>
      <c r="S28" s="1">
        <f>MIN($E28,$J28,$O28)</f>
        <v>0</v>
      </c>
      <c r="T28" s="1">
        <f>MIN($F28,$K28,$P28)</f>
        <v>0</v>
      </c>
      <c r="U28" s="1">
        <f>MEDIAN($B28,$G28,$L28)</f>
        <v>0</v>
      </c>
      <c r="V28" s="1">
        <f>MEDIAN($C28,$H28,$M28)</f>
        <v>0</v>
      </c>
      <c r="W28" s="1">
        <f>MEDIAN($E28,$J28,$O28)</f>
        <v>0</v>
      </c>
      <c r="X28" s="1">
        <f>MEDIAN($F28,$K28,$P28)</f>
        <v>0</v>
      </c>
      <c r="Y28" s="1">
        <f>MAX($B28,$G28,$L28)</f>
        <v>0</v>
      </c>
      <c r="Z28" s="1">
        <f>MAX($C28,$H28,$M28)</f>
        <v>0</v>
      </c>
      <c r="AA28" s="1">
        <f>MAX($E28,$J28,$O28)</f>
        <v>0</v>
      </c>
      <c r="AB28" s="1">
        <f>MAX($F28,$K28,$P28)</f>
        <v>0</v>
      </c>
    </row>
    <row r="29" spans="1:28">
      <c r="A29" s="1" t="s">
        <v>26</v>
      </c>
      <c r="B29" s="1">
        <v>709.53</v>
      </c>
      <c r="C29" s="1">
        <v>682.5</v>
      </c>
      <c r="D29" s="1" t="s">
        <v>48</v>
      </c>
      <c r="E29" s="1">
        <v>2664499</v>
      </c>
      <c r="F29" s="1">
        <v>702.544</v>
      </c>
      <c r="G29" s="1">
        <v>108.42</v>
      </c>
      <c r="H29" s="1">
        <v>92.42</v>
      </c>
      <c r="I29" s="1" t="s">
        <v>48</v>
      </c>
      <c r="J29" s="1">
        <v>481091</v>
      </c>
      <c r="K29" s="1">
        <v>99.071</v>
      </c>
      <c r="L29" s="1">
        <v>289.56</v>
      </c>
      <c r="M29" s="1">
        <v>275.19</v>
      </c>
      <c r="N29" s="1" t="s">
        <v>48</v>
      </c>
      <c r="O29" s="1">
        <v>481091</v>
      </c>
      <c r="P29" s="1">
        <v>281.627</v>
      </c>
      <c r="Q29" s="1">
        <f>MIN($B29,$G29,$L29)</f>
        <v>0</v>
      </c>
      <c r="R29" s="1">
        <f>MIN($C29,$H29,$M29)</f>
        <v>0</v>
      </c>
      <c r="S29" s="1">
        <f>MIN($E29,$J29,$O29)</f>
        <v>0</v>
      </c>
      <c r="T29" s="1">
        <f>MIN($F29,$K29,$P29)</f>
        <v>0</v>
      </c>
      <c r="U29" s="1">
        <f>MEDIAN($B29,$G29,$L29)</f>
        <v>0</v>
      </c>
      <c r="V29" s="1">
        <f>MEDIAN($C29,$H29,$M29)</f>
        <v>0</v>
      </c>
      <c r="W29" s="1">
        <f>MEDIAN($E29,$J29,$O29)</f>
        <v>0</v>
      </c>
      <c r="X29" s="1">
        <f>MEDIAN($F29,$K29,$P29)</f>
        <v>0</v>
      </c>
      <c r="Y29" s="1">
        <f>MAX($B29,$G29,$L29)</f>
        <v>0</v>
      </c>
      <c r="Z29" s="1">
        <f>MAX($C29,$H29,$M29)</f>
        <v>0</v>
      </c>
      <c r="AA29" s="1">
        <f>MAX($E29,$J29,$O29)</f>
        <v>0</v>
      </c>
      <c r="AB29" s="1">
        <f>MAX($F29,$K29,$P29)</f>
        <v>0</v>
      </c>
    </row>
    <row r="30" spans="1:28">
      <c r="A30" s="1" t="s">
        <v>27</v>
      </c>
      <c r="B30" s="1">
        <v>18</v>
      </c>
      <c r="C30" s="1">
        <v>0.4</v>
      </c>
      <c r="D30" s="1" t="s">
        <v>48</v>
      </c>
      <c r="E30" s="1">
        <v>673826</v>
      </c>
      <c r="F30" s="1">
        <v>11.588</v>
      </c>
      <c r="G30" s="1">
        <v>16.84</v>
      </c>
      <c r="H30" s="1">
        <v>0.91</v>
      </c>
      <c r="I30" s="1" t="s">
        <v>48</v>
      </c>
      <c r="J30" s="1">
        <v>637002</v>
      </c>
      <c r="K30" s="1">
        <v>10.264</v>
      </c>
      <c r="L30" s="1">
        <v>27.37</v>
      </c>
      <c r="M30" s="1">
        <v>10.72</v>
      </c>
      <c r="N30" s="1" t="s">
        <v>48</v>
      </c>
      <c r="O30" s="1">
        <v>637002</v>
      </c>
      <c r="P30" s="1">
        <v>19.205</v>
      </c>
      <c r="Q30" s="1">
        <f>MIN($B30,$G30,$L30)</f>
        <v>0</v>
      </c>
      <c r="R30" s="1">
        <f>MIN($C30,$H30,$M30)</f>
        <v>0</v>
      </c>
      <c r="S30" s="1">
        <f>MIN($E30,$J30,$O30)</f>
        <v>0</v>
      </c>
      <c r="T30" s="1">
        <f>MIN($F30,$K30,$P30)</f>
        <v>0</v>
      </c>
      <c r="U30" s="1">
        <f>MEDIAN($B30,$G30,$L30)</f>
        <v>0</v>
      </c>
      <c r="V30" s="1">
        <f>MEDIAN($C30,$H30,$M30)</f>
        <v>0</v>
      </c>
      <c r="W30" s="1">
        <f>MEDIAN($E30,$J30,$O30)</f>
        <v>0</v>
      </c>
      <c r="X30" s="1">
        <f>MEDIAN($F30,$K30,$P30)</f>
        <v>0</v>
      </c>
      <c r="Y30" s="1">
        <f>MAX($B30,$G30,$L30)</f>
        <v>0</v>
      </c>
      <c r="Z30" s="1">
        <f>MAX($C30,$H30,$M30)</f>
        <v>0</v>
      </c>
      <c r="AA30" s="1">
        <f>MAX($E30,$J30,$O30)</f>
        <v>0</v>
      </c>
      <c r="AB30" s="1">
        <f>MAX($F30,$K30,$P30)</f>
        <v>0</v>
      </c>
    </row>
    <row r="31" spans="1:28">
      <c r="A31" s="1" t="s">
        <v>28</v>
      </c>
      <c r="B31" s="1">
        <v>1200</v>
      </c>
      <c r="C31" s="1"/>
      <c r="D31" s="1"/>
      <c r="E31" s="1"/>
      <c r="F31" s="1"/>
      <c r="G31" s="1">
        <v>120.81</v>
      </c>
      <c r="H31" s="1">
        <v>102.87</v>
      </c>
      <c r="I31" s="1" t="s">
        <v>48</v>
      </c>
      <c r="J31" s="1">
        <v>637113</v>
      </c>
      <c r="K31" s="1">
        <v>111.573</v>
      </c>
      <c r="L31" s="1">
        <v>1181.22</v>
      </c>
      <c r="M31" s="1">
        <v>1165.36</v>
      </c>
      <c r="N31" s="1" t="s">
        <v>48</v>
      </c>
      <c r="O31" s="1">
        <v>637113</v>
      </c>
      <c r="P31" s="1">
        <v>1174.03</v>
      </c>
      <c r="Q31" s="1">
        <f>MIN($B31,$G31,$L31)</f>
        <v>0</v>
      </c>
      <c r="R31" s="1">
        <f>MIN($C31,$H31,$M31)</f>
        <v>0</v>
      </c>
      <c r="S31" s="1">
        <f>MIN($E31,$J31,$O31)</f>
        <v>0</v>
      </c>
      <c r="T31" s="1">
        <f>MIN($F31,$K31,$P31)</f>
        <v>0</v>
      </c>
      <c r="U31" s="1">
        <f>MEDIAN($B31,$G31,$L31)</f>
        <v>0</v>
      </c>
      <c r="V31" s="1">
        <f>MEDIAN($C31,$H31,$M31)</f>
        <v>0</v>
      </c>
      <c r="W31" s="1">
        <f>MEDIAN($E31,$J31,$O31)</f>
        <v>0</v>
      </c>
      <c r="X31" s="1">
        <f>MEDIAN($F31,$K31,$P31)</f>
        <v>0</v>
      </c>
      <c r="Y31" s="1">
        <f>MAX($B31,$G31,$L31)</f>
        <v>0</v>
      </c>
      <c r="Z31" s="1">
        <f>MAX($C31,$H31,$M31)</f>
        <v>0</v>
      </c>
      <c r="AA31" s="1">
        <f>MAX($E31,$J31,$O31)</f>
        <v>0</v>
      </c>
      <c r="AB31" s="1">
        <f>MAX($F31,$K31,$P31)</f>
        <v>0</v>
      </c>
    </row>
    <row r="32" spans="1:28">
      <c r="A32" s="1" t="s">
        <v>29</v>
      </c>
      <c r="B32" s="1">
        <v>1200</v>
      </c>
      <c r="C32" s="1"/>
      <c r="D32" s="1"/>
      <c r="E32" s="1"/>
      <c r="F32" s="1"/>
      <c r="G32" s="1">
        <v>70.47</v>
      </c>
      <c r="H32" s="1">
        <v>54.11</v>
      </c>
      <c r="I32" s="1" t="s">
        <v>48</v>
      </c>
      <c r="J32" s="1">
        <v>637113</v>
      </c>
      <c r="K32" s="1">
        <v>63.946</v>
      </c>
      <c r="L32" s="1">
        <v>1169.77</v>
      </c>
      <c r="M32" s="1">
        <v>1153.44</v>
      </c>
      <c r="N32" s="1" t="s">
        <v>48</v>
      </c>
      <c r="O32" s="1">
        <v>637113</v>
      </c>
      <c r="P32" s="1">
        <v>1162.059</v>
      </c>
      <c r="Q32" s="1">
        <f>MIN($B32,$G32,$L32)</f>
        <v>0</v>
      </c>
      <c r="R32" s="1">
        <f>MIN($C32,$H32,$M32)</f>
        <v>0</v>
      </c>
      <c r="S32" s="1">
        <f>MIN($E32,$J32,$O32)</f>
        <v>0</v>
      </c>
      <c r="T32" s="1">
        <f>MIN($F32,$K32,$P32)</f>
        <v>0</v>
      </c>
      <c r="U32" s="1">
        <f>MEDIAN($B32,$G32,$L32)</f>
        <v>0</v>
      </c>
      <c r="V32" s="1">
        <f>MEDIAN($C32,$H32,$M32)</f>
        <v>0</v>
      </c>
      <c r="W32" s="1">
        <f>MEDIAN($E32,$J32,$O32)</f>
        <v>0</v>
      </c>
      <c r="X32" s="1">
        <f>MEDIAN($F32,$K32,$P32)</f>
        <v>0</v>
      </c>
      <c r="Y32" s="1">
        <f>MAX($B32,$G32,$L32)</f>
        <v>0</v>
      </c>
      <c r="Z32" s="1">
        <f>MAX($C32,$H32,$M32)</f>
        <v>0</v>
      </c>
      <c r="AA32" s="1">
        <f>MAX($E32,$J32,$O32)</f>
        <v>0</v>
      </c>
      <c r="AB32" s="1">
        <f>MAX($F32,$K32,$P32)</f>
        <v>0</v>
      </c>
    </row>
    <row r="33" spans="1:28">
      <c r="A33" s="1" t="s">
        <v>30</v>
      </c>
      <c r="B33" s="1">
        <v>1200</v>
      </c>
      <c r="C33" s="1"/>
      <c r="D33" s="1" t="s">
        <v>49</v>
      </c>
      <c r="E33" s="1"/>
      <c r="F33" s="1"/>
      <c r="G33" s="1">
        <v>50.05</v>
      </c>
      <c r="H33" s="1">
        <v>31.91</v>
      </c>
      <c r="I33" s="1" t="s">
        <v>48</v>
      </c>
      <c r="J33" s="1">
        <v>637113</v>
      </c>
      <c r="K33" s="1">
        <v>40.685</v>
      </c>
      <c r="L33" s="1">
        <v>1182.83</v>
      </c>
      <c r="M33" s="1">
        <v>1165.82</v>
      </c>
      <c r="N33" s="1" t="s">
        <v>48</v>
      </c>
      <c r="O33" s="1">
        <v>637113</v>
      </c>
      <c r="P33" s="1">
        <v>1174.368</v>
      </c>
      <c r="Q33" s="1">
        <f>MIN($B33,$G33,$L33)</f>
        <v>0</v>
      </c>
      <c r="R33" s="1">
        <f>MIN($C33,$H33,$M33)</f>
        <v>0</v>
      </c>
      <c r="S33" s="1">
        <f>MIN($E33,$J33,$O33)</f>
        <v>0</v>
      </c>
      <c r="T33" s="1">
        <f>MIN($F33,$K33,$P33)</f>
        <v>0</v>
      </c>
      <c r="U33" s="1">
        <f>MEDIAN($B33,$G33,$L33)</f>
        <v>0</v>
      </c>
      <c r="V33" s="1">
        <f>MEDIAN($C33,$H33,$M33)</f>
        <v>0</v>
      </c>
      <c r="W33" s="1">
        <f>MEDIAN($E33,$J33,$O33)</f>
        <v>0</v>
      </c>
      <c r="X33" s="1">
        <f>MEDIAN($F33,$K33,$P33)</f>
        <v>0</v>
      </c>
      <c r="Y33" s="1">
        <f>MAX($B33,$G33,$L33)</f>
        <v>0</v>
      </c>
      <c r="Z33" s="1">
        <f>MAX($C33,$H33,$M33)</f>
        <v>0</v>
      </c>
      <c r="AA33" s="1">
        <f>MAX($E33,$J33,$O33)</f>
        <v>0</v>
      </c>
      <c r="AB33" s="1">
        <f>MAX($F33,$K33,$P33)</f>
        <v>0</v>
      </c>
    </row>
    <row r="34" spans="1:28">
      <c r="A34" s="1" t="s">
        <v>31</v>
      </c>
      <c r="B34" s="1">
        <v>1200</v>
      </c>
      <c r="C34" s="1">
        <v>0</v>
      </c>
      <c r="D34" s="1" t="s">
        <v>49</v>
      </c>
      <c r="E34" s="1">
        <v>0</v>
      </c>
      <c r="F34" s="1">
        <v>242.127</v>
      </c>
      <c r="G34" s="1">
        <v>331.06</v>
      </c>
      <c r="H34" s="1">
        <v>314.99</v>
      </c>
      <c r="I34" s="1" t="s">
        <v>48</v>
      </c>
      <c r="J34" s="1">
        <v>637113</v>
      </c>
      <c r="K34" s="1">
        <v>324.3</v>
      </c>
      <c r="L34" s="1">
        <v>1186.01</v>
      </c>
      <c r="M34" s="1">
        <v>1170.19</v>
      </c>
      <c r="N34" s="1" t="s">
        <v>48</v>
      </c>
      <c r="O34" s="1">
        <v>637113</v>
      </c>
      <c r="P34" s="1">
        <v>1178.792</v>
      </c>
      <c r="Q34" s="1">
        <f>MIN($B34,$G34,$L34)</f>
        <v>0</v>
      </c>
      <c r="R34" s="1">
        <f>MIN($C34,$H34,$M34)</f>
        <v>0</v>
      </c>
      <c r="S34" s="1">
        <f>MIN($E34,$J34,$O34)</f>
        <v>0</v>
      </c>
      <c r="T34" s="1">
        <f>MIN($F34,$K34,$P34)</f>
        <v>0</v>
      </c>
      <c r="U34" s="1">
        <f>MEDIAN($B34,$G34,$L34)</f>
        <v>0</v>
      </c>
      <c r="V34" s="1">
        <f>MEDIAN($C34,$H34,$M34)</f>
        <v>0</v>
      </c>
      <c r="W34" s="1">
        <f>MEDIAN($E34,$J34,$O34)</f>
        <v>0</v>
      </c>
      <c r="X34" s="1">
        <f>MEDIAN($F34,$K34,$P34)</f>
        <v>0</v>
      </c>
      <c r="Y34" s="1">
        <f>MAX($B34,$G34,$L34)</f>
        <v>0</v>
      </c>
      <c r="Z34" s="1">
        <f>MAX($C34,$H34,$M34)</f>
        <v>0</v>
      </c>
      <c r="AA34" s="1">
        <f>MAX($E34,$J34,$O34)</f>
        <v>0</v>
      </c>
      <c r="AB34" s="1">
        <f>MAX($F34,$K34,$P34)</f>
        <v>0</v>
      </c>
    </row>
    <row r="35" spans="1:28">
      <c r="A35" s="1" t="s">
        <v>32</v>
      </c>
      <c r="B35" s="1">
        <v>1200</v>
      </c>
      <c r="C35" s="1">
        <v>0</v>
      </c>
      <c r="D35" s="1" t="s">
        <v>49</v>
      </c>
      <c r="E35" s="1">
        <v>0</v>
      </c>
      <c r="F35" s="1">
        <v>262.179</v>
      </c>
      <c r="G35" s="1">
        <v>156.51</v>
      </c>
      <c r="H35" s="1">
        <v>140.95</v>
      </c>
      <c r="I35" s="1" t="s">
        <v>48</v>
      </c>
      <c r="J35" s="1">
        <v>637113</v>
      </c>
      <c r="K35" s="1">
        <v>150.329</v>
      </c>
      <c r="L35" s="1">
        <v>1172.12</v>
      </c>
      <c r="M35" s="1">
        <v>1156.34</v>
      </c>
      <c r="N35" s="1" t="s">
        <v>48</v>
      </c>
      <c r="O35" s="1">
        <v>637113</v>
      </c>
      <c r="P35" s="1">
        <v>1164.874</v>
      </c>
      <c r="Q35" s="1">
        <f>MIN($B35,$G35,$L35)</f>
        <v>0</v>
      </c>
      <c r="R35" s="1">
        <f>MIN($C35,$H35,$M35)</f>
        <v>0</v>
      </c>
      <c r="S35" s="1">
        <f>MIN($E35,$J35,$O35)</f>
        <v>0</v>
      </c>
      <c r="T35" s="1">
        <f>MIN($F35,$K35,$P35)</f>
        <v>0</v>
      </c>
      <c r="U35" s="1">
        <f>MEDIAN($B35,$G35,$L35)</f>
        <v>0</v>
      </c>
      <c r="V35" s="1">
        <f>MEDIAN($C35,$H35,$M35)</f>
        <v>0</v>
      </c>
      <c r="W35" s="1">
        <f>MEDIAN($E35,$J35,$O35)</f>
        <v>0</v>
      </c>
      <c r="X35" s="1">
        <f>MEDIAN($F35,$K35,$P35)</f>
        <v>0</v>
      </c>
      <c r="Y35" s="1">
        <f>MAX($B35,$G35,$L35)</f>
        <v>0</v>
      </c>
      <c r="Z35" s="1">
        <f>MAX($C35,$H35,$M35)</f>
        <v>0</v>
      </c>
      <c r="AA35" s="1">
        <f>MAX($E35,$J35,$O35)</f>
        <v>0</v>
      </c>
      <c r="AB35" s="1">
        <f>MAX($F35,$K35,$P35)</f>
        <v>0</v>
      </c>
    </row>
    <row r="36" spans="1:28">
      <c r="A36" s="1" t="s">
        <v>33</v>
      </c>
      <c r="B36" s="1">
        <v>1200</v>
      </c>
      <c r="C36" s="1">
        <v>0</v>
      </c>
      <c r="D36" s="1" t="s">
        <v>49</v>
      </c>
      <c r="E36" s="1">
        <v>0</v>
      </c>
      <c r="F36" s="1">
        <v>265.252</v>
      </c>
      <c r="G36" s="1">
        <v>118.5</v>
      </c>
      <c r="H36" s="1">
        <v>100.37</v>
      </c>
      <c r="I36" s="1" t="s">
        <v>48</v>
      </c>
      <c r="J36" s="1">
        <v>637113</v>
      </c>
      <c r="K36" s="1">
        <v>109.154</v>
      </c>
      <c r="L36" s="1">
        <v>1179.62</v>
      </c>
      <c r="M36" s="1">
        <v>1162.26</v>
      </c>
      <c r="N36" s="1" t="s">
        <v>48</v>
      </c>
      <c r="O36" s="1">
        <v>637113</v>
      </c>
      <c r="P36" s="1">
        <v>1170.83</v>
      </c>
      <c r="Q36" s="1">
        <f>MIN($B36,$G36,$L36)</f>
        <v>0</v>
      </c>
      <c r="R36" s="1">
        <f>MIN($C36,$H36,$M36)</f>
        <v>0</v>
      </c>
      <c r="S36" s="1">
        <f>MIN($E36,$J36,$O36)</f>
        <v>0</v>
      </c>
      <c r="T36" s="1">
        <f>MIN($F36,$K36,$P36)</f>
        <v>0</v>
      </c>
      <c r="U36" s="1">
        <f>MEDIAN($B36,$G36,$L36)</f>
        <v>0</v>
      </c>
      <c r="V36" s="1">
        <f>MEDIAN($C36,$H36,$M36)</f>
        <v>0</v>
      </c>
      <c r="W36" s="1">
        <f>MEDIAN($E36,$J36,$O36)</f>
        <v>0</v>
      </c>
      <c r="X36" s="1">
        <f>MEDIAN($F36,$K36,$P36)</f>
        <v>0</v>
      </c>
      <c r="Y36" s="1">
        <f>MAX($B36,$G36,$L36)</f>
        <v>0</v>
      </c>
      <c r="Z36" s="1">
        <f>MAX($C36,$H36,$M36)</f>
        <v>0</v>
      </c>
      <c r="AA36" s="1">
        <f>MAX($E36,$J36,$O36)</f>
        <v>0</v>
      </c>
      <c r="AB36" s="1">
        <f>MAX($F36,$K36,$P36)</f>
        <v>0</v>
      </c>
    </row>
    <row r="37" spans="1:28">
      <c r="A37" s="1" t="s">
        <v>34</v>
      </c>
      <c r="B37" s="1">
        <v>1200</v>
      </c>
      <c r="C37" s="1">
        <v>0</v>
      </c>
      <c r="D37" s="1" t="s">
        <v>49</v>
      </c>
      <c r="E37" s="1">
        <v>0</v>
      </c>
      <c r="F37" s="1">
        <v>248.844</v>
      </c>
      <c r="G37" s="1">
        <v>30.14</v>
      </c>
      <c r="H37" s="1">
        <v>12.09</v>
      </c>
      <c r="I37" s="1" t="s">
        <v>48</v>
      </c>
      <c r="J37" s="1">
        <v>637113</v>
      </c>
      <c r="K37" s="1">
        <v>20.859</v>
      </c>
      <c r="L37" s="1">
        <v>1188.52</v>
      </c>
      <c r="M37" s="1">
        <v>1171.39</v>
      </c>
      <c r="N37" s="1" t="s">
        <v>48</v>
      </c>
      <c r="O37" s="1">
        <v>637113</v>
      </c>
      <c r="P37" s="1">
        <v>1182</v>
      </c>
      <c r="Q37" s="1">
        <f>MIN($B37,$G37,$L37)</f>
        <v>0</v>
      </c>
      <c r="R37" s="1">
        <f>MIN($C37,$H37,$M37)</f>
        <v>0</v>
      </c>
      <c r="S37" s="1">
        <f>MIN($E37,$J37,$O37)</f>
        <v>0</v>
      </c>
      <c r="T37" s="1">
        <f>MIN($F37,$K37,$P37)</f>
        <v>0</v>
      </c>
      <c r="U37" s="1">
        <f>MEDIAN($B37,$G37,$L37)</f>
        <v>0</v>
      </c>
      <c r="V37" s="1">
        <f>MEDIAN($C37,$H37,$M37)</f>
        <v>0</v>
      </c>
      <c r="W37" s="1">
        <f>MEDIAN($E37,$J37,$O37)</f>
        <v>0</v>
      </c>
      <c r="X37" s="1">
        <f>MEDIAN($F37,$K37,$P37)</f>
        <v>0</v>
      </c>
      <c r="Y37" s="1">
        <f>MAX($B37,$G37,$L37)</f>
        <v>0</v>
      </c>
      <c r="Z37" s="1">
        <f>MAX($C37,$H37,$M37)</f>
        <v>0</v>
      </c>
      <c r="AA37" s="1">
        <f>MAX($E37,$J37,$O37)</f>
        <v>0</v>
      </c>
      <c r="AB37" s="1">
        <f>MAX($F37,$K37,$P37)</f>
        <v>0</v>
      </c>
    </row>
    <row r="38" spans="1:28">
      <c r="A38" s="1" t="s">
        <v>35</v>
      </c>
      <c r="B38" s="1">
        <v>1200</v>
      </c>
      <c r="C38" s="1">
        <v>1170.98</v>
      </c>
      <c r="D38" s="1" t="s">
        <v>49</v>
      </c>
      <c r="E38" s="1">
        <v>2818235</v>
      </c>
      <c r="F38" s="1">
        <v>1194.082</v>
      </c>
      <c r="G38" s="1">
        <v>202.02</v>
      </c>
      <c r="H38" s="1">
        <v>183.98</v>
      </c>
      <c r="I38" s="1" t="s">
        <v>48</v>
      </c>
      <c r="J38" s="1">
        <v>637113</v>
      </c>
      <c r="K38" s="1">
        <v>192.577</v>
      </c>
      <c r="L38" s="1">
        <v>1200</v>
      </c>
      <c r="M38" s="1">
        <v>1184.69</v>
      </c>
      <c r="N38" s="1" t="s">
        <v>49</v>
      </c>
      <c r="O38" s="1">
        <v>637113</v>
      </c>
      <c r="P38" s="1">
        <v>1194.386</v>
      </c>
      <c r="Q38" s="1">
        <f>MIN($B38,$G38,$L38)</f>
        <v>0</v>
      </c>
      <c r="R38" s="1">
        <f>MIN($C38,$H38,$M38)</f>
        <v>0</v>
      </c>
      <c r="S38" s="1">
        <f>MIN($E38,$J38,$O38)</f>
        <v>0</v>
      </c>
      <c r="T38" s="1">
        <f>MIN($F38,$K38,$P38)</f>
        <v>0</v>
      </c>
      <c r="U38" s="1">
        <f>MEDIAN($B38,$G38,$L38)</f>
        <v>0</v>
      </c>
      <c r="V38" s="1">
        <f>MEDIAN($C38,$H38,$M38)</f>
        <v>0</v>
      </c>
      <c r="W38" s="1">
        <f>MEDIAN($E38,$J38,$O38)</f>
        <v>0</v>
      </c>
      <c r="X38" s="1">
        <f>MEDIAN($F38,$K38,$P38)</f>
        <v>0</v>
      </c>
      <c r="Y38" s="1">
        <f>MAX($B38,$G38,$L38)</f>
        <v>0</v>
      </c>
      <c r="Z38" s="1">
        <f>MAX($C38,$H38,$M38)</f>
        <v>0</v>
      </c>
      <c r="AA38" s="1">
        <f>MAX($E38,$J38,$O38)</f>
        <v>0</v>
      </c>
      <c r="AB38" s="1">
        <f>MAX($F38,$K38,$P38)</f>
        <v>0</v>
      </c>
    </row>
    <row r="39" spans="1:2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" t="s">
        <v>36</v>
      </c>
      <c r="B40" s="1">
        <f>SUM(B$3:B$38)</f>
        <v>0</v>
      </c>
      <c r="C40" s="1">
        <f>SUM(C$3:C$38)</f>
        <v>0</v>
      </c>
      <c r="D40" s="1"/>
      <c r="E40" s="1">
        <f>SUM(E$3:E$38)</f>
        <v>0</v>
      </c>
      <c r="F40" s="1">
        <f>SUM(F$3:F$38)</f>
        <v>0</v>
      </c>
      <c r="G40" s="1">
        <f>SUM(G$3:G$38)</f>
        <v>0</v>
      </c>
      <c r="H40" s="1">
        <f>SUM(H$3:H$38)</f>
        <v>0</v>
      </c>
      <c r="I40" s="1"/>
      <c r="J40" s="1">
        <f>SUM(J$3:J$38)</f>
        <v>0</v>
      </c>
      <c r="K40" s="1">
        <f>SUM(K$3:K$38)</f>
        <v>0</v>
      </c>
      <c r="L40" s="1">
        <f>SUM(L$3:L$38)</f>
        <v>0</v>
      </c>
      <c r="M40" s="1">
        <f>SUM(M$3:M$38)</f>
        <v>0</v>
      </c>
      <c r="N40" s="1"/>
      <c r="O40" s="1">
        <f>SUM(O$3:O$38)</f>
        <v>0</v>
      </c>
      <c r="P40" s="1">
        <f>SUM(P$3:P$38)</f>
        <v>0</v>
      </c>
      <c r="Q40" s="1">
        <f>SUM(Q$3:Q$38)</f>
        <v>0</v>
      </c>
      <c r="R40" s="1">
        <f>SUM(R$3:R$38)</f>
        <v>0</v>
      </c>
      <c r="S40" s="1">
        <f>SUM(S$3:S$38)</f>
        <v>0</v>
      </c>
      <c r="T40" s="1">
        <f>SUM(T$3:T$38)</f>
        <v>0</v>
      </c>
      <c r="U40" s="1">
        <f>SUM(U$3:U$38)</f>
        <v>0</v>
      </c>
      <c r="V40" s="1">
        <f>SUM(V$3:V$38)</f>
        <v>0</v>
      </c>
      <c r="W40" s="1">
        <f>SUM(W$3:W$38)</f>
        <v>0</v>
      </c>
      <c r="X40" s="1">
        <f>SUM(X$3:X$38)</f>
        <v>0</v>
      </c>
      <c r="Y40" s="1">
        <f>SUM(Y$3:Y$38)</f>
        <v>0</v>
      </c>
      <c r="Z40" s="1">
        <f>SUM(Z$3:Z$38)</f>
        <v>0</v>
      </c>
      <c r="AA40" s="1">
        <f>SUM(AA$3:AA$38)</f>
        <v>0</v>
      </c>
      <c r="AB40" s="1">
        <f>SUM(AB$3:AB$38)</f>
        <v>0</v>
      </c>
    </row>
    <row r="41" spans="1:28">
      <c r="A41" s="1" t="s">
        <v>37</v>
      </c>
      <c r="B41" s="1">
        <f>AVERAGE(B$3:B$38)</f>
        <v>0</v>
      </c>
      <c r="C41" s="1">
        <f>AVERAGE(C$3:C$38)</f>
        <v>0</v>
      </c>
      <c r="D41" s="1"/>
      <c r="E41" s="1">
        <f>AVERAGE(E$3:E$38)</f>
        <v>0</v>
      </c>
      <c r="F41" s="1">
        <f>AVERAGE(F$3:F$38)</f>
        <v>0</v>
      </c>
      <c r="G41" s="1">
        <f>AVERAGE(G$3:G$38)</f>
        <v>0</v>
      </c>
      <c r="H41" s="1">
        <f>AVERAGE(H$3:H$38)</f>
        <v>0</v>
      </c>
      <c r="I41" s="1"/>
      <c r="J41" s="1">
        <f>AVERAGE(J$3:J$38)</f>
        <v>0</v>
      </c>
      <c r="K41" s="1">
        <f>AVERAGE(K$3:K$38)</f>
        <v>0</v>
      </c>
      <c r="L41" s="1">
        <f>AVERAGE(L$3:L$38)</f>
        <v>0</v>
      </c>
      <c r="M41" s="1">
        <f>AVERAGE(M$3:M$38)</f>
        <v>0</v>
      </c>
      <c r="N41" s="1"/>
      <c r="O41" s="1">
        <f>AVERAGE(O$3:O$38)</f>
        <v>0</v>
      </c>
      <c r="P41" s="1">
        <f>AVERAGE(P$3:P$38)</f>
        <v>0</v>
      </c>
      <c r="Q41" s="1">
        <f>AVERAGE(Q$3:Q$38)</f>
        <v>0</v>
      </c>
      <c r="R41" s="1">
        <f>AVERAGE(R$3:R$38)</f>
        <v>0</v>
      </c>
      <c r="S41" s="1">
        <f>AVERAGE(S$3:S$38)</f>
        <v>0</v>
      </c>
      <c r="T41" s="1">
        <f>AVERAGE(T$3:T$38)</f>
        <v>0</v>
      </c>
      <c r="U41" s="1">
        <f>AVERAGE(U$3:U$38)</f>
        <v>0</v>
      </c>
      <c r="V41" s="1">
        <f>AVERAGE(V$3:V$38)</f>
        <v>0</v>
      </c>
      <c r="W41" s="1">
        <f>AVERAGE(W$3:W$38)</f>
        <v>0</v>
      </c>
      <c r="X41" s="1">
        <f>AVERAGE(X$3:X$38)</f>
        <v>0</v>
      </c>
      <c r="Y41" s="1">
        <f>AVERAGE(Y$3:Y$38)</f>
        <v>0</v>
      </c>
      <c r="Z41" s="1">
        <f>AVERAGE(Z$3:Z$38)</f>
        <v>0</v>
      </c>
      <c r="AA41" s="1">
        <f>AVERAGE(AA$3:AA$38)</f>
        <v>0</v>
      </c>
      <c r="AB41" s="1">
        <f>AVERAGE(AB$3:AB$38)</f>
        <v>0</v>
      </c>
    </row>
    <row r="42" spans="1:28">
      <c r="A42" s="1" t="s">
        <v>38</v>
      </c>
      <c r="B42" s="1">
        <f>STDEV(B$3:B$38)</f>
        <v>0</v>
      </c>
      <c r="C42" s="1">
        <f>STDEV(C$3:C$38)</f>
        <v>0</v>
      </c>
      <c r="D42" s="1"/>
      <c r="E42" s="1">
        <f>STDEV(E$3:E$38)</f>
        <v>0</v>
      </c>
      <c r="F42" s="1">
        <f>STDEV(F$3:F$38)</f>
        <v>0</v>
      </c>
      <c r="G42" s="1">
        <f>STDEV(G$3:G$38)</f>
        <v>0</v>
      </c>
      <c r="H42" s="1">
        <f>STDEV(H$3:H$38)</f>
        <v>0</v>
      </c>
      <c r="I42" s="1"/>
      <c r="J42" s="1">
        <f>STDEV(J$3:J$38)</f>
        <v>0</v>
      </c>
      <c r="K42" s="1">
        <f>STDEV(K$3:K$38)</f>
        <v>0</v>
      </c>
      <c r="L42" s="1">
        <f>STDEV(L$3:L$38)</f>
        <v>0</v>
      </c>
      <c r="M42" s="1">
        <f>STDEV(M$3:M$38)</f>
        <v>0</v>
      </c>
      <c r="N42" s="1"/>
      <c r="O42" s="1">
        <f>STDEV(O$3:O$38)</f>
        <v>0</v>
      </c>
      <c r="P42" s="1">
        <f>STDEV(P$3:P$38)</f>
        <v>0</v>
      </c>
      <c r="Q42" s="1">
        <f>STDEV(Q$3:Q$38)</f>
        <v>0</v>
      </c>
      <c r="R42" s="1">
        <f>STDEV(R$3:R$38)</f>
        <v>0</v>
      </c>
      <c r="S42" s="1">
        <f>STDEV(S$3:S$38)</f>
        <v>0</v>
      </c>
      <c r="T42" s="1">
        <f>STDEV(T$3:T$38)</f>
        <v>0</v>
      </c>
      <c r="U42" s="1">
        <f>STDEV(U$3:U$38)</f>
        <v>0</v>
      </c>
      <c r="V42" s="1">
        <f>STDEV(V$3:V$38)</f>
        <v>0</v>
      </c>
      <c r="W42" s="1">
        <f>STDEV(W$3:W$38)</f>
        <v>0</v>
      </c>
      <c r="X42" s="1">
        <f>STDEV(X$3:X$38)</f>
        <v>0</v>
      </c>
      <c r="Y42" s="1">
        <f>STDEV(Y$3:Y$38)</f>
        <v>0</v>
      </c>
      <c r="Z42" s="1">
        <f>STDEV(Z$3:Z$38)</f>
        <v>0</v>
      </c>
      <c r="AA42" s="1">
        <f>STDEV(AA$3:AA$38)</f>
        <v>0</v>
      </c>
      <c r="AB42" s="1">
        <f>STDEV(AB$3:AB$38)</f>
        <v>0</v>
      </c>
    </row>
    <row r="43" spans="1:28">
      <c r="A43" s="1" t="s">
        <v>39</v>
      </c>
      <c r="B43" s="1">
        <f>SUMPRODUCT(--(B$3:B$38-$Q$3:$Q$38)^2)^0.5</f>
        <v>0</v>
      </c>
      <c r="C43" s="1">
        <f>SUMPRODUCT(--(C$3:C$38-$R$3:$R$38)^2)^0.5</f>
        <v>0</v>
      </c>
      <c r="D43" s="1"/>
      <c r="E43" s="1">
        <f>SUMPRODUCT(--(E$3:E$38-$S$3:$S$38)^2)^0.5</f>
        <v>0</v>
      </c>
      <c r="F43" s="1">
        <f>SUMPRODUCT(--(F$3:F$38-$T$3:$T$38)^2)^0.5</f>
        <v>0</v>
      </c>
      <c r="G43" s="1">
        <f>SUMPRODUCT(--(G$3:G$38-$Q$3:$Q$38)^2)^0.5</f>
        <v>0</v>
      </c>
      <c r="H43" s="1">
        <f>SUMPRODUCT(--(H$3:H$38-$R$3:$R$38)^2)^0.5</f>
        <v>0</v>
      </c>
      <c r="I43" s="1"/>
      <c r="J43" s="1">
        <f>SUMPRODUCT(--(J$3:J$38-$S$3:$S$38)^2)^0.5</f>
        <v>0</v>
      </c>
      <c r="K43" s="1">
        <f>SUMPRODUCT(--(K$3:K$38-$T$3:$T$38)^2)^0.5</f>
        <v>0</v>
      </c>
      <c r="L43" s="1">
        <f>SUMPRODUCT(--(L$3:L$38-$Q$3:$Q$38)^2)^0.5</f>
        <v>0</v>
      </c>
      <c r="M43" s="1">
        <f>SUMPRODUCT(--(M$3:M$38-$R$3:$R$38)^2)^0.5</f>
        <v>0</v>
      </c>
      <c r="N43" s="1"/>
      <c r="O43" s="1">
        <f>SUMPRODUCT(--(O$3:O$38-$S$3:$S$38)^2)^0.5</f>
        <v>0</v>
      </c>
      <c r="P43" s="1">
        <f>SUMPRODUCT(--(P$3:P$38-$T$3:$T$38)^2)^0.5</f>
        <v>0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" t="s">
        <v>40</v>
      </c>
      <c r="B44" s="1">
        <f>SUMPRODUCT(NOT(ISBLANK(B$3:B$38))*(B$3:B$38=$Q$3:$Q$38))</f>
        <v>0</v>
      </c>
      <c r="C44" s="1">
        <f>SUMPRODUCT(NOT(ISBLANK(C$3:C$38))*(C$3:C$38=$R$3:$R$38))</f>
        <v>0</v>
      </c>
      <c r="D44" s="1"/>
      <c r="E44" s="1">
        <f>SUMPRODUCT(NOT(ISBLANK(E$3:E$38))*(E$3:E$38=$S$3:$S$38))</f>
        <v>0</v>
      </c>
      <c r="F44" s="1">
        <f>SUMPRODUCT(NOT(ISBLANK(F$3:F$38))*(F$3:F$38=$T$3:$T$38))</f>
        <v>0</v>
      </c>
      <c r="G44" s="1">
        <f>SUMPRODUCT(NOT(ISBLANK(G$3:G$38))*(G$3:G$38=$Q$3:$Q$38))</f>
        <v>0</v>
      </c>
      <c r="H44" s="1">
        <f>SUMPRODUCT(NOT(ISBLANK(H$3:H$38))*(H$3:H$38=$R$3:$R$38))</f>
        <v>0</v>
      </c>
      <c r="I44" s="1"/>
      <c r="J44" s="1">
        <f>SUMPRODUCT(NOT(ISBLANK(J$3:J$38))*(J$3:J$38=$S$3:$S$38))</f>
        <v>0</v>
      </c>
      <c r="K44" s="1">
        <f>SUMPRODUCT(NOT(ISBLANK(K$3:K$38))*(K$3:K$38=$T$3:$T$38))</f>
        <v>0</v>
      </c>
      <c r="L44" s="1">
        <f>SUMPRODUCT(NOT(ISBLANK(L$3:L$38))*(L$3:L$38=$Q$3:$Q$38))</f>
        <v>0</v>
      </c>
      <c r="M44" s="1">
        <f>SUMPRODUCT(NOT(ISBLANK(M$3:M$38))*(M$3:M$38=$R$3:$R$38))</f>
        <v>0</v>
      </c>
      <c r="N44" s="1"/>
      <c r="O44" s="1">
        <f>SUMPRODUCT(NOT(ISBLANK(O$3:O$38))*(O$3:O$38=$S$3:$S$38))</f>
        <v>0</v>
      </c>
      <c r="P44" s="1">
        <f>SUMPRODUCT(NOT(ISBLANK(P$3:P$38))*(P$3:P$38=$T$3:$T$38))</f>
        <v>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" t="s">
        <v>41</v>
      </c>
      <c r="B45" s="1">
        <f>SUMPRODUCT(NOT(ISBLANK(B$3:B$38))*(B$3:B$38&lt;$U$3:$U$38))</f>
        <v>0</v>
      </c>
      <c r="C45" s="1">
        <f>SUMPRODUCT(NOT(ISBLANK(C$3:C$38))*(C$3:C$38&lt;$V$3:$V$38))</f>
        <v>0</v>
      </c>
      <c r="D45" s="1"/>
      <c r="E45" s="1">
        <f>SUMPRODUCT(NOT(ISBLANK(E$3:E$38))*(E$3:E$38&lt;$W$3:$W$38))</f>
        <v>0</v>
      </c>
      <c r="F45" s="1">
        <f>SUMPRODUCT(NOT(ISBLANK(F$3:F$38))*(F$3:F$38&lt;$X$3:$X$38))</f>
        <v>0</v>
      </c>
      <c r="G45" s="1">
        <f>SUMPRODUCT(NOT(ISBLANK(G$3:G$38))*(G$3:G$38&lt;$U$3:$U$38))</f>
        <v>0</v>
      </c>
      <c r="H45" s="1">
        <f>SUMPRODUCT(NOT(ISBLANK(H$3:H$38))*(H$3:H$38&lt;$V$3:$V$38))</f>
        <v>0</v>
      </c>
      <c r="I45" s="1"/>
      <c r="J45" s="1">
        <f>SUMPRODUCT(NOT(ISBLANK(J$3:J$38))*(J$3:J$38&lt;$W$3:$W$38))</f>
        <v>0</v>
      </c>
      <c r="K45" s="1">
        <f>SUMPRODUCT(NOT(ISBLANK(K$3:K$38))*(K$3:K$38&lt;$X$3:$X$38))</f>
        <v>0</v>
      </c>
      <c r="L45" s="1">
        <f>SUMPRODUCT(NOT(ISBLANK(L$3:L$38))*(L$3:L$38&lt;$U$3:$U$38))</f>
        <v>0</v>
      </c>
      <c r="M45" s="1">
        <f>SUMPRODUCT(NOT(ISBLANK(M$3:M$38))*(M$3:M$38&lt;$V$3:$V$38))</f>
        <v>0</v>
      </c>
      <c r="N45" s="1"/>
      <c r="O45" s="1">
        <f>SUMPRODUCT(NOT(ISBLANK(O$3:O$38))*(O$3:O$38&lt;$W$3:$W$38))</f>
        <v>0</v>
      </c>
      <c r="P45" s="1">
        <f>SUMPRODUCT(NOT(ISBLANK(P$3:P$38))*(P$3:P$38&lt;$X$3:$X$38))</f>
        <v>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" t="s">
        <v>42</v>
      </c>
      <c r="B46" s="1">
        <f>SUMPRODUCT((NOT(ISBLANK(B$3:B$38))*(B$3:B$38&gt;$U$3:$U$38))+ISBLANK(B$3:B$38))</f>
        <v>0</v>
      </c>
      <c r="C46" s="1">
        <f>SUMPRODUCT((NOT(ISBLANK(C$3:C$38))*(C$3:C$38&gt;$V$3:$V$38))+ISBLANK(C$3:C$38))</f>
        <v>0</v>
      </c>
      <c r="D46" s="1"/>
      <c r="E46" s="1">
        <f>SUMPRODUCT((NOT(ISBLANK(E$3:E$38))*(E$3:E$38&gt;$W$3:$W$38))+ISBLANK(E$3:E$38))</f>
        <v>0</v>
      </c>
      <c r="F46" s="1">
        <f>SUMPRODUCT((NOT(ISBLANK(F$3:F$38))*(F$3:F$38&gt;$X$3:$X$38))+ISBLANK(F$3:F$38))</f>
        <v>0</v>
      </c>
      <c r="G46" s="1">
        <f>SUMPRODUCT((NOT(ISBLANK(G$3:G$38))*(G$3:G$38&gt;$U$3:$U$38))+ISBLANK(G$3:G$38))</f>
        <v>0</v>
      </c>
      <c r="H46" s="1">
        <f>SUMPRODUCT((NOT(ISBLANK(H$3:H$38))*(H$3:H$38&gt;$V$3:$V$38))+ISBLANK(H$3:H$38))</f>
        <v>0</v>
      </c>
      <c r="I46" s="1"/>
      <c r="J46" s="1">
        <f>SUMPRODUCT((NOT(ISBLANK(J$3:J$38))*(J$3:J$38&gt;$W$3:$W$38))+ISBLANK(J$3:J$38))</f>
        <v>0</v>
      </c>
      <c r="K46" s="1">
        <f>SUMPRODUCT((NOT(ISBLANK(K$3:K$38))*(K$3:K$38&gt;$X$3:$X$38))+ISBLANK(K$3:K$38))</f>
        <v>0</v>
      </c>
      <c r="L46" s="1">
        <f>SUMPRODUCT((NOT(ISBLANK(L$3:L$38))*(L$3:L$38&gt;$U$3:$U$38))+ISBLANK(L$3:L$38))</f>
        <v>0</v>
      </c>
      <c r="M46" s="1">
        <f>SUMPRODUCT((NOT(ISBLANK(M$3:M$38))*(M$3:M$38&gt;$V$3:$V$38))+ISBLANK(M$3:M$38))</f>
        <v>0</v>
      </c>
      <c r="N46" s="1"/>
      <c r="O46" s="1">
        <f>SUMPRODUCT((NOT(ISBLANK(O$3:O$38))*(O$3:O$38&gt;$W$3:$W$38))+ISBLANK(O$3:O$38))</f>
        <v>0</v>
      </c>
      <c r="P46" s="1">
        <f>SUMPRODUCT((NOT(ISBLANK(P$3:P$38))*(P$3:P$38&gt;$X$3:$X$38))+ISBLANK(P$3:P$38))</f>
        <v>0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" t="s">
        <v>43</v>
      </c>
      <c r="B47" s="1">
        <f>SUMPRODUCT((NOT(ISBLANK(B$3:B$38))*(B$3:B$38=$Y$3:$Y$38))+ISBLANK(B$3:B$38))</f>
        <v>0</v>
      </c>
      <c r="C47" s="1">
        <f>SUMPRODUCT((NOT(ISBLANK(C$3:C$38))*(C$3:C$38=$Z$3:$Z$38))+ISBLANK(C$3:C$38))</f>
        <v>0</v>
      </c>
      <c r="D47" s="1"/>
      <c r="E47" s="1">
        <f>SUMPRODUCT((NOT(ISBLANK(E$3:E$38))*(E$3:E$38=$AA$3:$AA$38))+ISBLANK(E$3:E$38))</f>
        <v>0</v>
      </c>
      <c r="F47" s="1">
        <f>SUMPRODUCT((NOT(ISBLANK(F$3:F$38))*(F$3:F$38=$AB$3:$AB$38))+ISBLANK(F$3:F$38))</f>
        <v>0</v>
      </c>
      <c r="G47" s="1">
        <f>SUMPRODUCT((NOT(ISBLANK(G$3:G$38))*(G$3:G$38=$Y$3:$Y$38))+ISBLANK(G$3:G$38))</f>
        <v>0</v>
      </c>
      <c r="H47" s="1">
        <f>SUMPRODUCT((NOT(ISBLANK(H$3:H$38))*(H$3:H$38=$Z$3:$Z$38))+ISBLANK(H$3:H$38))</f>
        <v>0</v>
      </c>
      <c r="I47" s="1"/>
      <c r="J47" s="1">
        <f>SUMPRODUCT((NOT(ISBLANK(J$3:J$38))*(J$3:J$38=$AA$3:$AA$38))+ISBLANK(J$3:J$38))</f>
        <v>0</v>
      </c>
      <c r="K47" s="1">
        <f>SUMPRODUCT((NOT(ISBLANK(K$3:K$38))*(K$3:K$38=$AB$3:$AB$38))+ISBLANK(K$3:K$38))</f>
        <v>0</v>
      </c>
      <c r="L47" s="1">
        <f>SUMPRODUCT((NOT(ISBLANK(L$3:L$38))*(L$3:L$38=$Y$3:$Y$38))+ISBLANK(L$3:L$38))</f>
        <v>0</v>
      </c>
      <c r="M47" s="1">
        <f>SUMPRODUCT((NOT(ISBLANK(M$3:M$38))*(M$3:M$38=$Z$3:$Z$38))+ISBLANK(M$3:M$38))</f>
        <v>0</v>
      </c>
      <c r="N47" s="1"/>
      <c r="O47" s="1">
        <f>SUMPRODUCT((NOT(ISBLANK(O$3:O$38))*(O$3:O$38=$AA$3:$AA$38))+ISBLANK(O$3:O$38))</f>
        <v>0</v>
      </c>
      <c r="P47" s="1">
        <f>SUMPRODUCT((NOT(ISBLANK(P$3:P$38))*(P$3:P$38=$AB$3:$AB$38))+ISBLANK(P$3:P$38))</f>
        <v>0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28" width="11.42578125" customWidth="1"/>
  </cols>
  <sheetData>
    <row r="1" spans="1:28">
      <c r="A1" s="1" t="s">
        <v>57</v>
      </c>
      <c r="B1" s="1" t="s">
        <v>44</v>
      </c>
      <c r="C1" s="1"/>
      <c r="D1" s="1"/>
      <c r="E1" s="1"/>
      <c r="F1" s="1"/>
      <c r="G1" s="1" t="s">
        <v>52</v>
      </c>
      <c r="H1" s="1"/>
      <c r="I1" s="1"/>
      <c r="J1" s="1"/>
      <c r="K1" s="1"/>
      <c r="L1" s="1" t="s">
        <v>53</v>
      </c>
      <c r="M1" s="1"/>
      <c r="N1" s="1"/>
      <c r="O1" s="1"/>
      <c r="P1" s="1"/>
      <c r="Q1" s="1" t="s">
        <v>54</v>
      </c>
      <c r="R1" s="1"/>
      <c r="S1" s="1"/>
      <c r="T1" s="1"/>
      <c r="U1" s="1" t="s">
        <v>55</v>
      </c>
      <c r="V1" s="1"/>
      <c r="W1" s="1"/>
      <c r="X1" s="1"/>
      <c r="Y1" s="1" t="s">
        <v>56</v>
      </c>
      <c r="Z1" s="1"/>
      <c r="AA1" s="1"/>
      <c r="AB1" s="1"/>
    </row>
    <row r="2" spans="1:28">
      <c r="A2" s="2" t="s">
        <v>55</v>
      </c>
      <c r="B2" s="1" t="s">
        <v>45</v>
      </c>
      <c r="C2" s="1" t="s">
        <v>46</v>
      </c>
      <c r="D2" s="1" t="s">
        <v>47</v>
      </c>
      <c r="E2" s="1" t="s">
        <v>50</v>
      </c>
      <c r="F2" s="1" t="s">
        <v>51</v>
      </c>
      <c r="G2" s="1" t="s">
        <v>45</v>
      </c>
      <c r="H2" s="1" t="s">
        <v>46</v>
      </c>
      <c r="I2" s="1" t="s">
        <v>47</v>
      </c>
      <c r="J2" s="1" t="s">
        <v>50</v>
      </c>
      <c r="K2" s="1" t="s">
        <v>51</v>
      </c>
      <c r="L2" s="1" t="s">
        <v>45</v>
      </c>
      <c r="M2" s="1" t="s">
        <v>46</v>
      </c>
      <c r="N2" s="1" t="s">
        <v>47</v>
      </c>
      <c r="O2" s="1" t="s">
        <v>50</v>
      </c>
      <c r="P2" s="1" t="s">
        <v>51</v>
      </c>
      <c r="Q2" s="1" t="s">
        <v>45</v>
      </c>
      <c r="R2" s="1" t="s">
        <v>46</v>
      </c>
      <c r="S2" s="1" t="s">
        <v>50</v>
      </c>
      <c r="T2" s="1" t="s">
        <v>51</v>
      </c>
      <c r="U2" s="1" t="s">
        <v>45</v>
      </c>
      <c r="V2" s="1" t="s">
        <v>46</v>
      </c>
      <c r="W2" s="1" t="s">
        <v>50</v>
      </c>
      <c r="X2" s="1" t="s">
        <v>51</v>
      </c>
      <c r="Y2" s="1" t="s">
        <v>45</v>
      </c>
      <c r="Z2" s="1" t="s">
        <v>46</v>
      </c>
      <c r="AA2" s="1" t="s">
        <v>50</v>
      </c>
      <c r="AB2" s="1" t="s">
        <v>51</v>
      </c>
    </row>
    <row r="3" spans="1:28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/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/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>
        <f>MIN($B3,$G3,$L3)</f>
        <v>0</v>
      </c>
      <c r="R3" s="1">
        <f>MIN($C3,$H3,$M3)</f>
        <v>0</v>
      </c>
      <c r="S3" s="1">
        <f>MIN($E3,$J3,$O3)</f>
        <v>0</v>
      </c>
      <c r="T3" s="1">
        <f>MIN($F3,$K3,$P3)</f>
        <v>0</v>
      </c>
      <c r="U3" s="1">
        <f>MEDIAN($B3,$G3,$L3)</f>
        <v>0</v>
      </c>
      <c r="V3" s="1">
        <f>MEDIAN($C3,$H3,$M3)</f>
        <v>0</v>
      </c>
      <c r="W3" s="1">
        <f>MEDIAN($E3,$J3,$O3)</f>
        <v>0</v>
      </c>
      <c r="X3" s="1">
        <f>MEDIAN($F3,$K3,$P3)</f>
        <v>0</v>
      </c>
      <c r="Y3" s="1">
        <f>MAX($B3,$G3,$L3)</f>
        <v>0</v>
      </c>
      <c r="Z3" s="1">
        <f>MAX($C3,$H3,$M3)</f>
        <v>0</v>
      </c>
      <c r="AA3" s="1">
        <f>MAX($E3,$J3,$O3)</f>
        <v>0</v>
      </c>
      <c r="AB3" s="1">
        <f>MAX($F3,$K3,$P3)</f>
        <v>0</v>
      </c>
    </row>
    <row r="4" spans="1:28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/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/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>
        <f>MIN($B4,$G4,$L4)</f>
        <v>0</v>
      </c>
      <c r="R4" s="1">
        <f>MIN($C4,$H4,$M4)</f>
        <v>0</v>
      </c>
      <c r="S4" s="1">
        <f>MIN($E4,$J4,$O4)</f>
        <v>0</v>
      </c>
      <c r="T4" s="1">
        <f>MIN($F4,$K4,$P4)</f>
        <v>0</v>
      </c>
      <c r="U4" s="1">
        <f>MEDIAN($B4,$G4,$L4)</f>
        <v>0</v>
      </c>
      <c r="V4" s="1">
        <f>MEDIAN($C4,$H4,$M4)</f>
        <v>0</v>
      </c>
      <c r="W4" s="1">
        <f>MEDIAN($E4,$J4,$O4)</f>
        <v>0</v>
      </c>
      <c r="X4" s="1">
        <f>MEDIAN($F4,$K4,$P4)</f>
        <v>0</v>
      </c>
      <c r="Y4" s="1">
        <f>MAX($B4,$G4,$L4)</f>
        <v>0</v>
      </c>
      <c r="Z4" s="1">
        <f>MAX($C4,$H4,$M4)</f>
        <v>0</v>
      </c>
      <c r="AA4" s="1">
        <f>MAX($E4,$J4,$O4)</f>
        <v>0</v>
      </c>
      <c r="AB4" s="1">
        <f>MAX($F4,$K4,$P4)</f>
        <v>0</v>
      </c>
    </row>
    <row r="5" spans="1:28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/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/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>
        <f>MIN($B5,$G5,$L5)</f>
        <v>0</v>
      </c>
      <c r="R5" s="1">
        <f>MIN($C5,$H5,$M5)</f>
        <v>0</v>
      </c>
      <c r="S5" s="1">
        <f>MIN($E5,$J5,$O5)</f>
        <v>0</v>
      </c>
      <c r="T5" s="1">
        <f>MIN($F5,$K5,$P5)</f>
        <v>0</v>
      </c>
      <c r="U5" s="1">
        <f>MEDIAN($B5,$G5,$L5)</f>
        <v>0</v>
      </c>
      <c r="V5" s="1">
        <f>MEDIAN($C5,$H5,$M5)</f>
        <v>0</v>
      </c>
      <c r="W5" s="1">
        <f>MEDIAN($E5,$J5,$O5)</f>
        <v>0</v>
      </c>
      <c r="X5" s="1">
        <f>MEDIAN($F5,$K5,$P5)</f>
        <v>0</v>
      </c>
      <c r="Y5" s="1">
        <f>MAX($B5,$G5,$L5)</f>
        <v>0</v>
      </c>
      <c r="Z5" s="1">
        <f>MAX($C5,$H5,$M5)</f>
        <v>0</v>
      </c>
      <c r="AA5" s="1">
        <f>MAX($E5,$J5,$O5)</f>
        <v>0</v>
      </c>
      <c r="AB5" s="1">
        <f>MAX($F5,$K5,$P5)</f>
        <v>0</v>
      </c>
    </row>
    <row r="6" spans="1:28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/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/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>
        <f>MIN($B6,$G6,$L6)</f>
        <v>0</v>
      </c>
      <c r="R6" s="1">
        <f>MIN($C6,$H6,$M6)</f>
        <v>0</v>
      </c>
      <c r="S6" s="1">
        <f>MIN($E6,$J6,$O6)</f>
        <v>0</v>
      </c>
      <c r="T6" s="1">
        <f>MIN($F6,$K6,$P6)</f>
        <v>0</v>
      </c>
      <c r="U6" s="1">
        <f>MEDIAN($B6,$G6,$L6)</f>
        <v>0</v>
      </c>
      <c r="V6" s="1">
        <f>MEDIAN($C6,$H6,$M6)</f>
        <v>0</v>
      </c>
      <c r="W6" s="1">
        <f>MEDIAN($E6,$J6,$O6)</f>
        <v>0</v>
      </c>
      <c r="X6" s="1">
        <f>MEDIAN($F6,$K6,$P6)</f>
        <v>0</v>
      </c>
      <c r="Y6" s="1">
        <f>MAX($B6,$G6,$L6)</f>
        <v>0</v>
      </c>
      <c r="Z6" s="1">
        <f>MAX($C6,$H6,$M6)</f>
        <v>0</v>
      </c>
      <c r="AA6" s="1">
        <f>MAX($E6,$J6,$O6)</f>
        <v>0</v>
      </c>
      <c r="AB6" s="1">
        <f>MAX($F6,$K6,$P6)</f>
        <v>0</v>
      </c>
    </row>
    <row r="7" spans="1:28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/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/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 cm="1">
        <f t="array" ref="L7">_xlfn.SWITCH($A$2,"average", AVERAGE(Instances!L7:Instances!L7),"median", MEDIAN(Instances!L7:Instances!L7),"min", MIN(Instances!L7:Instances!L7),"max", MAX(Instances!L7:Instances!L7),"diff", MAX(Instances!L7:Instances!L7)-MIN(Instances!L7:Instances!L7))</f>
        <v>0</v>
      </c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/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>
        <f>MIN($B7,$G7,$L7)</f>
        <v>0</v>
      </c>
      <c r="R7" s="1">
        <f>MIN($C7,$H7,$M7)</f>
        <v>0</v>
      </c>
      <c r="S7" s="1">
        <f>MIN($E7,$J7,$O7)</f>
        <v>0</v>
      </c>
      <c r="T7" s="1">
        <f>MIN($F7,$K7,$P7)</f>
        <v>0</v>
      </c>
      <c r="U7" s="1">
        <f>MEDIAN($B7,$G7,$L7)</f>
        <v>0</v>
      </c>
      <c r="V7" s="1">
        <f>MEDIAN($C7,$H7,$M7)</f>
        <v>0</v>
      </c>
      <c r="W7" s="1">
        <f>MEDIAN($E7,$J7,$O7)</f>
        <v>0</v>
      </c>
      <c r="X7" s="1">
        <f>MEDIAN($F7,$K7,$P7)</f>
        <v>0</v>
      </c>
      <c r="Y7" s="1">
        <f>MAX($B7,$G7,$L7)</f>
        <v>0</v>
      </c>
      <c r="Z7" s="1">
        <f>MAX($C7,$H7,$M7)</f>
        <v>0</v>
      </c>
      <c r="AA7" s="1">
        <f>MAX($E7,$J7,$O7)</f>
        <v>0</v>
      </c>
      <c r="AB7" s="1">
        <f>MAX($F7,$K7,$P7)</f>
        <v>0</v>
      </c>
    </row>
    <row r="8" spans="1:28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/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/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/>
      <c r="O8" s="1" cm="1">
        <f t="array" ref="O8">_xlfn.SWITCH($A$2,"average", AVERAGE(Instances!O8:Instances!O8),"median", MEDIAN(Instances!O8:Instances!O8),"min", MIN(Instances!O8:Instances!O8),"max", MAX(Instances!O8:Instances!O8),"diff", MAX(Instances!O8:Instances!O8)-MIN(Instances!O8:Instances!O8))</f>
        <v>0</v>
      </c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>
        <f>MIN($B8,$G8,$L8)</f>
        <v>0</v>
      </c>
      <c r="R8" s="1">
        <f>MIN($C8,$H8,$M8)</f>
        <v>0</v>
      </c>
      <c r="S8" s="1">
        <f>MIN($E8,$J8,$O8)</f>
        <v>0</v>
      </c>
      <c r="T8" s="1">
        <f>MIN($F8,$K8,$P8)</f>
        <v>0</v>
      </c>
      <c r="U8" s="1">
        <f>MEDIAN($B8,$G8,$L8)</f>
        <v>0</v>
      </c>
      <c r="V8" s="1">
        <f>MEDIAN($C8,$H8,$M8)</f>
        <v>0</v>
      </c>
      <c r="W8" s="1">
        <f>MEDIAN($E8,$J8,$O8)</f>
        <v>0</v>
      </c>
      <c r="X8" s="1">
        <f>MEDIAN($F8,$K8,$P8)</f>
        <v>0</v>
      </c>
      <c r="Y8" s="1">
        <f>MAX($B8,$G8,$L8)</f>
        <v>0</v>
      </c>
      <c r="Z8" s="1">
        <f>MAX($C8,$H8,$M8)</f>
        <v>0</v>
      </c>
      <c r="AA8" s="1">
        <f>MAX($E8,$J8,$O8)</f>
        <v>0</v>
      </c>
      <c r="AB8" s="1">
        <f>MAX($F8,$K8,$P8)</f>
        <v>0</v>
      </c>
    </row>
    <row r="9" spans="1:28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/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/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 cm="1">
        <f t="array" ref="L9">_xlfn.SWITCH($A$2,"average", AVERAGE(Instances!L9:Instances!L9),"median", MEDIAN(Instances!L9:Instances!L9),"min", MIN(Instances!L9:Instances!L9),"max", MAX(Instances!L9:Instances!L9),"diff", MAX(Instances!L9:Instances!L9)-MIN(Instances!L9:Instances!L9))</f>
        <v>0</v>
      </c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/>
      <c r="O9" s="1" cm="1">
        <f t="array" ref="O9">_xlfn.SWITCH($A$2,"average", AVERAGE(Instances!O9:Instances!O9),"median", MEDIAN(Instances!O9:Instances!O9),"min", MIN(Instances!O9:Instances!O9),"max", MAX(Instances!O9:Instances!O9),"diff", MAX(Instances!O9:Instances!O9)-MIN(Instances!O9:Instances!O9))</f>
        <v>0</v>
      </c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>
        <f>MIN($B9,$G9,$L9)</f>
        <v>0</v>
      </c>
      <c r="R9" s="1">
        <f>MIN($C9,$H9,$M9)</f>
        <v>0</v>
      </c>
      <c r="S9" s="1">
        <f>MIN($E9,$J9,$O9)</f>
        <v>0</v>
      </c>
      <c r="T9" s="1">
        <f>MIN($F9,$K9,$P9)</f>
        <v>0</v>
      </c>
      <c r="U9" s="1">
        <f>MEDIAN($B9,$G9,$L9)</f>
        <v>0</v>
      </c>
      <c r="V9" s="1">
        <f>MEDIAN($C9,$H9,$M9)</f>
        <v>0</v>
      </c>
      <c r="W9" s="1">
        <f>MEDIAN($E9,$J9,$O9)</f>
        <v>0</v>
      </c>
      <c r="X9" s="1">
        <f>MEDIAN($F9,$K9,$P9)</f>
        <v>0</v>
      </c>
      <c r="Y9" s="1">
        <f>MAX($B9,$G9,$L9)</f>
        <v>0</v>
      </c>
      <c r="Z9" s="1">
        <f>MAX($C9,$H9,$M9)</f>
        <v>0</v>
      </c>
      <c r="AA9" s="1">
        <f>MAX($E9,$J9,$O9)</f>
        <v>0</v>
      </c>
      <c r="AB9" s="1">
        <f>MAX($F9,$K9,$P9)</f>
        <v>0</v>
      </c>
    </row>
    <row r="10" spans="1:28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/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/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 cm="1">
        <f t="array" ref="L10">_xlfn.SWITCH($A$2,"average", AVERAGE(Instances!L10:Instances!L10),"median", MEDIAN(Instances!L10:Instances!L10),"min", MIN(Instances!L10:Instances!L10),"max", MAX(Instances!L10:Instances!L10),"diff", MAX(Instances!L10:Instances!L10)-MIN(Instances!L10:Instances!L10))</f>
        <v>0</v>
      </c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/>
      <c r="O10" s="1" cm="1">
        <f t="array" ref="O10">_xlfn.SWITCH($A$2,"average", AVERAGE(Instances!O10:Instances!O10),"median", MEDIAN(Instances!O10:Instances!O10),"min", MIN(Instances!O10:Instances!O10),"max", MAX(Instances!O10:Instances!O10),"diff", MAX(Instances!O10:Instances!O10)-MIN(Instances!O10:Instances!O10))</f>
        <v>0</v>
      </c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>
        <f>MIN($B10,$G10,$L10)</f>
        <v>0</v>
      </c>
      <c r="R10" s="1">
        <f>MIN($C10,$H10,$M10)</f>
        <v>0</v>
      </c>
      <c r="S10" s="1">
        <f>MIN($E10,$J10,$O10)</f>
        <v>0</v>
      </c>
      <c r="T10" s="1">
        <f>MIN($F10,$K10,$P10)</f>
        <v>0</v>
      </c>
      <c r="U10" s="1">
        <f>MEDIAN($B10,$G10,$L10)</f>
        <v>0</v>
      </c>
      <c r="V10" s="1">
        <f>MEDIAN($C10,$H10,$M10)</f>
        <v>0</v>
      </c>
      <c r="W10" s="1">
        <f>MEDIAN($E10,$J10,$O10)</f>
        <v>0</v>
      </c>
      <c r="X10" s="1">
        <f>MEDIAN($F10,$K10,$P10)</f>
        <v>0</v>
      </c>
      <c r="Y10" s="1">
        <f>MAX($B10,$G10,$L10)</f>
        <v>0</v>
      </c>
      <c r="Z10" s="1">
        <f>MAX($C10,$H10,$M10)</f>
        <v>0</v>
      </c>
      <c r="AA10" s="1">
        <f>MAX($E10,$J10,$O10)</f>
        <v>0</v>
      </c>
      <c r="AB10" s="1">
        <f>MAX($F10,$K10,$P10)</f>
        <v>0</v>
      </c>
    </row>
    <row r="11" spans="1:28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/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/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 cm="1">
        <f t="array" ref="L11">_xlfn.SWITCH($A$2,"average", AVERAGE(Instances!L11:Instances!L11),"median", MEDIAN(Instances!L11:Instances!L11),"min", MIN(Instances!L11:Instances!L11),"max", MAX(Instances!L11:Instances!L11),"diff", MAX(Instances!L11:Instances!L11)-MIN(Instances!L11:Instances!L11))</f>
        <v>0</v>
      </c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/>
      <c r="O11" s="1" cm="1">
        <f t="array" ref="O11">_xlfn.SWITCH($A$2,"average", AVERAGE(Instances!O11:Instances!O11),"median", MEDIAN(Instances!O11:Instances!O11),"min", MIN(Instances!O11:Instances!O11),"max", MAX(Instances!O11:Instances!O11),"diff", MAX(Instances!O11:Instances!O11)-MIN(Instances!O11:Instances!O11))</f>
        <v>0</v>
      </c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>
        <f>MIN($B11,$G11,$L11)</f>
        <v>0</v>
      </c>
      <c r="R11" s="1">
        <f>MIN($C11,$H11,$M11)</f>
        <v>0</v>
      </c>
      <c r="S11" s="1">
        <f>MIN($E11,$J11,$O11)</f>
        <v>0</v>
      </c>
      <c r="T11" s="1">
        <f>MIN($F11,$K11,$P11)</f>
        <v>0</v>
      </c>
      <c r="U11" s="1">
        <f>MEDIAN($B11,$G11,$L11)</f>
        <v>0</v>
      </c>
      <c r="V11" s="1">
        <f>MEDIAN($C11,$H11,$M11)</f>
        <v>0</v>
      </c>
      <c r="W11" s="1">
        <f>MEDIAN($E11,$J11,$O11)</f>
        <v>0</v>
      </c>
      <c r="X11" s="1">
        <f>MEDIAN($F11,$K11,$P11)</f>
        <v>0</v>
      </c>
      <c r="Y11" s="1">
        <f>MAX($B11,$G11,$L11)</f>
        <v>0</v>
      </c>
      <c r="Z11" s="1">
        <f>MAX($C11,$H11,$M11)</f>
        <v>0</v>
      </c>
      <c r="AA11" s="1">
        <f>MAX($E11,$J11,$O11)</f>
        <v>0</v>
      </c>
      <c r="AB11" s="1">
        <f>MAX($F11,$K11,$P11)</f>
        <v>0</v>
      </c>
    </row>
    <row r="12" spans="1:28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/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/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 cm="1">
        <f t="array" ref="L12">_xlfn.SWITCH($A$2,"average", AVERAGE(Instances!L12:Instances!L12),"median", MEDIAN(Instances!L12:Instances!L12),"min", MIN(Instances!L12:Instances!L12),"max", MAX(Instances!L12:Instances!L12),"diff", MAX(Instances!L12:Instances!L12)-MIN(Instances!L12:Instances!L12))</f>
        <v>0</v>
      </c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/>
      <c r="O12" s="1" cm="1">
        <f t="array" ref="O12">_xlfn.SWITCH($A$2,"average", AVERAGE(Instances!O12:Instances!O12),"median", MEDIAN(Instances!O12:Instances!O12),"min", MIN(Instances!O12:Instances!O12),"max", MAX(Instances!O12:Instances!O12),"diff", MAX(Instances!O12:Instances!O12)-MIN(Instances!O12:Instances!O12))</f>
        <v>0</v>
      </c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>
        <f>MIN($B12,$G12,$L12)</f>
        <v>0</v>
      </c>
      <c r="R12" s="1">
        <f>MIN($C12,$H12,$M12)</f>
        <v>0</v>
      </c>
      <c r="S12" s="1">
        <f>MIN($E12,$J12,$O12)</f>
        <v>0</v>
      </c>
      <c r="T12" s="1">
        <f>MIN($F12,$K12,$P12)</f>
        <v>0</v>
      </c>
      <c r="U12" s="1">
        <f>MEDIAN($B12,$G12,$L12)</f>
        <v>0</v>
      </c>
      <c r="V12" s="1">
        <f>MEDIAN($C12,$H12,$M12)</f>
        <v>0</v>
      </c>
      <c r="W12" s="1">
        <f>MEDIAN($E12,$J12,$O12)</f>
        <v>0</v>
      </c>
      <c r="X12" s="1">
        <f>MEDIAN($F12,$K12,$P12)</f>
        <v>0</v>
      </c>
      <c r="Y12" s="1">
        <f>MAX($B12,$G12,$L12)</f>
        <v>0</v>
      </c>
      <c r="Z12" s="1">
        <f>MAX($C12,$H12,$M12)</f>
        <v>0</v>
      </c>
      <c r="AA12" s="1">
        <f>MAX($E12,$J12,$O12)</f>
        <v>0</v>
      </c>
      <c r="AB12" s="1">
        <f>MAX($F12,$K12,$P12)</f>
        <v>0</v>
      </c>
    </row>
    <row r="13" spans="1:28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/>
      <c r="D13" s="1"/>
      <c r="E13" s="1"/>
      <c r="F13" s="1"/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/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 cm="1">
        <f t="array" ref="L13">_xlfn.SWITCH($A$2,"average", AVERAGE(Instances!L13:Instances!L13),"median", MEDIAN(Instances!L13:Instances!L13),"min", MIN(Instances!L13:Instances!L13),"max", MAX(Instances!L13:Instances!L13),"diff", MAX(Instances!L13:Instances!L13)-MIN(Instances!L13:Instances!L13))</f>
        <v>0</v>
      </c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/>
      <c r="O13" s="1" cm="1">
        <f t="array" ref="O13">_xlfn.SWITCH($A$2,"average", AVERAGE(Instances!O13:Instances!O13),"median", MEDIAN(Instances!O13:Instances!O13),"min", MIN(Instances!O13:Instances!O13),"max", MAX(Instances!O13:Instances!O13),"diff", MAX(Instances!O13:Instances!O13)-MIN(Instances!O13:Instances!O13))</f>
        <v>0</v>
      </c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>
        <f>MIN($B13,$G13,$L13)</f>
        <v>0</v>
      </c>
      <c r="R13" s="1">
        <f>MIN($C13,$H13,$M13)</f>
        <v>0</v>
      </c>
      <c r="S13" s="1">
        <f>MIN($E13,$J13,$O13)</f>
        <v>0</v>
      </c>
      <c r="T13" s="1">
        <f>MIN($F13,$K13,$P13)</f>
        <v>0</v>
      </c>
      <c r="U13" s="1">
        <f>MEDIAN($B13,$G13,$L13)</f>
        <v>0</v>
      </c>
      <c r="V13" s="1">
        <f>MEDIAN($C13,$H13,$M13)</f>
        <v>0</v>
      </c>
      <c r="W13" s="1">
        <f>MEDIAN($E13,$J13,$O13)</f>
        <v>0</v>
      </c>
      <c r="X13" s="1">
        <f>MEDIAN($F13,$K13,$P13)</f>
        <v>0</v>
      </c>
      <c r="Y13" s="1">
        <f>MAX($B13,$G13,$L13)</f>
        <v>0</v>
      </c>
      <c r="Z13" s="1">
        <f>MAX($C13,$H13,$M13)</f>
        <v>0</v>
      </c>
      <c r="AA13" s="1">
        <f>MAX($E13,$J13,$O13)</f>
        <v>0</v>
      </c>
      <c r="AB13" s="1">
        <f>MAX($F13,$K13,$P13)</f>
        <v>0</v>
      </c>
    </row>
    <row r="14" spans="1:28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/>
      <c r="D14" s="1"/>
      <c r="E14" s="1"/>
      <c r="F14" s="1"/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/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 cm="1">
        <f t="array" ref="L14">_xlfn.SWITCH($A$2,"average", AVERAGE(Instances!L14:Instances!L14),"median", MEDIAN(Instances!L14:Instances!L14),"min", MIN(Instances!L14:Instances!L14),"max", MAX(Instances!L14:Instances!L14),"diff", MAX(Instances!L14:Instances!L14)-MIN(Instances!L14:Instances!L14))</f>
        <v>0</v>
      </c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/>
      <c r="O14" s="1" cm="1">
        <f t="array" ref="O14">_xlfn.SWITCH($A$2,"average", AVERAGE(Instances!O14:Instances!O14),"median", MEDIAN(Instances!O14:Instances!O14),"min", MIN(Instances!O14:Instances!O14),"max", MAX(Instances!O14:Instances!O14),"diff", MAX(Instances!O14:Instances!O14)-MIN(Instances!O14:Instances!O14))</f>
        <v>0</v>
      </c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>
        <f>MIN($B14,$G14,$L14)</f>
        <v>0</v>
      </c>
      <c r="R14" s="1">
        <f>MIN($C14,$H14,$M14)</f>
        <v>0</v>
      </c>
      <c r="S14" s="1">
        <f>MIN($E14,$J14,$O14)</f>
        <v>0</v>
      </c>
      <c r="T14" s="1">
        <f>MIN($F14,$K14,$P14)</f>
        <v>0</v>
      </c>
      <c r="U14" s="1">
        <f>MEDIAN($B14,$G14,$L14)</f>
        <v>0</v>
      </c>
      <c r="V14" s="1">
        <f>MEDIAN($C14,$H14,$M14)</f>
        <v>0</v>
      </c>
      <c r="W14" s="1">
        <f>MEDIAN($E14,$J14,$O14)</f>
        <v>0</v>
      </c>
      <c r="X14" s="1">
        <f>MEDIAN($F14,$K14,$P14)</f>
        <v>0</v>
      </c>
      <c r="Y14" s="1">
        <f>MAX($B14,$G14,$L14)</f>
        <v>0</v>
      </c>
      <c r="Z14" s="1">
        <f>MAX($C14,$H14,$M14)</f>
        <v>0</v>
      </c>
      <c r="AA14" s="1">
        <f>MAX($E14,$J14,$O14)</f>
        <v>0</v>
      </c>
      <c r="AB14" s="1">
        <f>MAX($F14,$K14,$P14)</f>
        <v>0</v>
      </c>
    </row>
    <row r="15" spans="1:28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/>
      <c r="D15" s="1"/>
      <c r="E15" s="1"/>
      <c r="F15" s="1"/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/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 cm="1">
        <f t="array" ref="L15">_xlfn.SWITCH($A$2,"average", AVERAGE(Instances!L15:Instances!L15),"median", MEDIAN(Instances!L15:Instances!L15),"min", MIN(Instances!L15:Instances!L15),"max", MAX(Instances!L15:Instances!L15),"diff", MAX(Instances!L15:Instances!L15)-MIN(Instances!L15:Instances!L15))</f>
        <v>0</v>
      </c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/>
      <c r="O15" s="1" cm="1">
        <f t="array" ref="O15">_xlfn.SWITCH($A$2,"average", AVERAGE(Instances!O15:Instances!O15),"median", MEDIAN(Instances!O15:Instances!O15),"min", MIN(Instances!O15:Instances!O15),"max", MAX(Instances!O15:Instances!O15),"diff", MAX(Instances!O15:Instances!O15)-MIN(Instances!O15:Instances!O15))</f>
        <v>0</v>
      </c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>
        <f>MIN($B15,$G15,$L15)</f>
        <v>0</v>
      </c>
      <c r="R15" s="1">
        <f>MIN($C15,$H15,$M15)</f>
        <v>0</v>
      </c>
      <c r="S15" s="1">
        <f>MIN($E15,$J15,$O15)</f>
        <v>0</v>
      </c>
      <c r="T15" s="1">
        <f>MIN($F15,$K15,$P15)</f>
        <v>0</v>
      </c>
      <c r="U15" s="1">
        <f>MEDIAN($B15,$G15,$L15)</f>
        <v>0</v>
      </c>
      <c r="V15" s="1">
        <f>MEDIAN($C15,$H15,$M15)</f>
        <v>0</v>
      </c>
      <c r="W15" s="1">
        <f>MEDIAN($E15,$J15,$O15)</f>
        <v>0</v>
      </c>
      <c r="X15" s="1">
        <f>MEDIAN($F15,$K15,$P15)</f>
        <v>0</v>
      </c>
      <c r="Y15" s="1">
        <f>MAX($B15,$G15,$L15)</f>
        <v>0</v>
      </c>
      <c r="Z15" s="1">
        <f>MAX($C15,$H15,$M15)</f>
        <v>0</v>
      </c>
      <c r="AA15" s="1">
        <f>MAX($E15,$J15,$O15)</f>
        <v>0</v>
      </c>
      <c r="AB15" s="1">
        <f>MAX($F15,$K15,$P15)</f>
        <v>0</v>
      </c>
    </row>
    <row r="16" spans="1:28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/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/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 cm="1">
        <f t="array" ref="L16">_xlfn.SWITCH($A$2,"average", AVERAGE(Instances!L16:Instances!L16),"median", MEDIAN(Instances!L16:Instances!L16),"min", MIN(Instances!L16:Instances!L16),"max", MAX(Instances!L16:Instances!L16),"diff", MAX(Instances!L16:Instances!L16)-MIN(Instances!L16:Instances!L16))</f>
        <v>0</v>
      </c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/>
      <c r="O16" s="1" cm="1">
        <f t="array" ref="O16">_xlfn.SWITCH($A$2,"average", AVERAGE(Instances!O16:Instances!O16),"median", MEDIAN(Instances!O16:Instances!O16),"min", MIN(Instances!O16:Instances!O16),"max", MAX(Instances!O16:Instances!O16),"diff", MAX(Instances!O16:Instances!O16)-MIN(Instances!O16:Instances!O16))</f>
        <v>0</v>
      </c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>
        <f>MIN($B16,$G16,$L16)</f>
        <v>0</v>
      </c>
      <c r="R16" s="1">
        <f>MIN($C16,$H16,$M16)</f>
        <v>0</v>
      </c>
      <c r="S16" s="1">
        <f>MIN($E16,$J16,$O16)</f>
        <v>0</v>
      </c>
      <c r="T16" s="1">
        <f>MIN($F16,$K16,$P16)</f>
        <v>0</v>
      </c>
      <c r="U16" s="1">
        <f>MEDIAN($B16,$G16,$L16)</f>
        <v>0</v>
      </c>
      <c r="V16" s="1">
        <f>MEDIAN($C16,$H16,$M16)</f>
        <v>0</v>
      </c>
      <c r="W16" s="1">
        <f>MEDIAN($E16,$J16,$O16)</f>
        <v>0</v>
      </c>
      <c r="X16" s="1">
        <f>MEDIAN($F16,$K16,$P16)</f>
        <v>0</v>
      </c>
      <c r="Y16" s="1">
        <f>MAX($B16,$G16,$L16)</f>
        <v>0</v>
      </c>
      <c r="Z16" s="1">
        <f>MAX($C16,$H16,$M16)</f>
        <v>0</v>
      </c>
      <c r="AA16" s="1">
        <f>MAX($E16,$J16,$O16)</f>
        <v>0</v>
      </c>
      <c r="AB16" s="1">
        <f>MAX($F16,$K16,$P16)</f>
        <v>0</v>
      </c>
    </row>
    <row r="17" spans="1:28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/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/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 cm="1">
        <f t="array" ref="L17">_xlfn.SWITCH($A$2,"average", AVERAGE(Instances!L17:Instances!L17),"median", MEDIAN(Instances!L17:Instances!L17),"min", MIN(Instances!L17:Instances!L17),"max", MAX(Instances!L17:Instances!L17),"diff", MAX(Instances!L17:Instances!L17)-MIN(Instances!L17:Instances!L17))</f>
        <v>0</v>
      </c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/>
      <c r="O17" s="1" cm="1">
        <f t="array" ref="O17">_xlfn.SWITCH($A$2,"average", AVERAGE(Instances!O17:Instances!O17),"median", MEDIAN(Instances!O17:Instances!O17),"min", MIN(Instances!O17:Instances!O17),"max", MAX(Instances!O17:Instances!O17),"diff", MAX(Instances!O17:Instances!O17)-MIN(Instances!O17:Instances!O17))</f>
        <v>0</v>
      </c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>
        <f>MIN($B17,$G17,$L17)</f>
        <v>0</v>
      </c>
      <c r="R17" s="1">
        <f>MIN($C17,$H17,$M17)</f>
        <v>0</v>
      </c>
      <c r="S17" s="1">
        <f>MIN($E17,$J17,$O17)</f>
        <v>0</v>
      </c>
      <c r="T17" s="1">
        <f>MIN($F17,$K17,$P17)</f>
        <v>0</v>
      </c>
      <c r="U17" s="1">
        <f>MEDIAN($B17,$G17,$L17)</f>
        <v>0</v>
      </c>
      <c r="V17" s="1">
        <f>MEDIAN($C17,$H17,$M17)</f>
        <v>0</v>
      </c>
      <c r="W17" s="1">
        <f>MEDIAN($E17,$J17,$O17)</f>
        <v>0</v>
      </c>
      <c r="X17" s="1">
        <f>MEDIAN($F17,$K17,$P17)</f>
        <v>0</v>
      </c>
      <c r="Y17" s="1">
        <f>MAX($B17,$G17,$L17)</f>
        <v>0</v>
      </c>
      <c r="Z17" s="1">
        <f>MAX($C17,$H17,$M17)</f>
        <v>0</v>
      </c>
      <c r="AA17" s="1">
        <f>MAX($E17,$J17,$O17)</f>
        <v>0</v>
      </c>
      <c r="AB17" s="1">
        <f>MAX($F17,$K17,$P17)</f>
        <v>0</v>
      </c>
    </row>
    <row r="18" spans="1:28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/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/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 cm="1">
        <f t="array" ref="L18">_xlfn.SWITCH($A$2,"average", AVERAGE(Instances!L18:Instances!L18),"median", MEDIAN(Instances!L18:Instances!L18),"min", MIN(Instances!L18:Instances!L18),"max", MAX(Instances!L18:Instances!L18),"diff", MAX(Instances!L18:Instances!L18)-MIN(Instances!L18:Instances!L18))</f>
        <v>0</v>
      </c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/>
      <c r="O18" s="1" cm="1">
        <f t="array" ref="O18">_xlfn.SWITCH($A$2,"average", AVERAGE(Instances!O18:Instances!O18),"median", MEDIAN(Instances!O18:Instances!O18),"min", MIN(Instances!O18:Instances!O18),"max", MAX(Instances!O18:Instances!O18),"diff", MAX(Instances!O18:Instances!O18)-MIN(Instances!O18:Instances!O18))</f>
        <v>0</v>
      </c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>
        <f>MIN($B18,$G18,$L18)</f>
        <v>0</v>
      </c>
      <c r="R18" s="1">
        <f>MIN($C18,$H18,$M18)</f>
        <v>0</v>
      </c>
      <c r="S18" s="1">
        <f>MIN($E18,$J18,$O18)</f>
        <v>0</v>
      </c>
      <c r="T18" s="1">
        <f>MIN($F18,$K18,$P18)</f>
        <v>0</v>
      </c>
      <c r="U18" s="1">
        <f>MEDIAN($B18,$G18,$L18)</f>
        <v>0</v>
      </c>
      <c r="V18" s="1">
        <f>MEDIAN($C18,$H18,$M18)</f>
        <v>0</v>
      </c>
      <c r="W18" s="1">
        <f>MEDIAN($E18,$J18,$O18)</f>
        <v>0</v>
      </c>
      <c r="X18" s="1">
        <f>MEDIAN($F18,$K18,$P18)</f>
        <v>0</v>
      </c>
      <c r="Y18" s="1">
        <f>MAX($B18,$G18,$L18)</f>
        <v>0</v>
      </c>
      <c r="Z18" s="1">
        <f>MAX($C18,$H18,$M18)</f>
        <v>0</v>
      </c>
      <c r="AA18" s="1">
        <f>MAX($E18,$J18,$O18)</f>
        <v>0</v>
      </c>
      <c r="AB18" s="1">
        <f>MAX($F18,$K18,$P18)</f>
        <v>0</v>
      </c>
    </row>
    <row r="19" spans="1:28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/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/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 cm="1">
        <f t="array" ref="L19">_xlfn.SWITCH($A$2,"average", AVERAGE(Instances!L19:Instances!L19),"median", MEDIAN(Instances!L19:Instances!L19),"min", MIN(Instances!L19:Instances!L19),"max", MAX(Instances!L19:Instances!L19),"diff", MAX(Instances!L19:Instances!L19)-MIN(Instances!L19:Instances!L19))</f>
        <v>0</v>
      </c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/>
      <c r="O19" s="1" cm="1">
        <f t="array" ref="O19">_xlfn.SWITCH($A$2,"average", AVERAGE(Instances!O19:Instances!O19),"median", MEDIAN(Instances!O19:Instances!O19),"min", MIN(Instances!O19:Instances!O19),"max", MAX(Instances!O19:Instances!O19),"diff", MAX(Instances!O19:Instances!O19)-MIN(Instances!O19:Instances!O19))</f>
        <v>0</v>
      </c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>
        <f>MIN($B19,$G19,$L19)</f>
        <v>0</v>
      </c>
      <c r="R19" s="1">
        <f>MIN($C19,$H19,$M19)</f>
        <v>0</v>
      </c>
      <c r="S19" s="1">
        <f>MIN($E19,$J19,$O19)</f>
        <v>0</v>
      </c>
      <c r="T19" s="1">
        <f>MIN($F19,$K19,$P19)</f>
        <v>0</v>
      </c>
      <c r="U19" s="1">
        <f>MEDIAN($B19,$G19,$L19)</f>
        <v>0</v>
      </c>
      <c r="V19" s="1">
        <f>MEDIAN($C19,$H19,$M19)</f>
        <v>0</v>
      </c>
      <c r="W19" s="1">
        <f>MEDIAN($E19,$J19,$O19)</f>
        <v>0</v>
      </c>
      <c r="X19" s="1">
        <f>MEDIAN($F19,$K19,$P19)</f>
        <v>0</v>
      </c>
      <c r="Y19" s="1">
        <f>MAX($B19,$G19,$L19)</f>
        <v>0</v>
      </c>
      <c r="Z19" s="1">
        <f>MAX($C19,$H19,$M19)</f>
        <v>0</v>
      </c>
      <c r="AA19" s="1">
        <f>MAX($E19,$J19,$O19)</f>
        <v>0</v>
      </c>
      <c r="AB19" s="1">
        <f>MAX($F19,$K19,$P19)</f>
        <v>0</v>
      </c>
    </row>
    <row r="20" spans="1:28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/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/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 cm="1">
        <f t="array" ref="L20">_xlfn.SWITCH($A$2,"average", AVERAGE(Instances!L20:Instances!L20),"median", MEDIAN(Instances!L20:Instances!L20),"min", MIN(Instances!L20:Instances!L20),"max", MAX(Instances!L20:Instances!L20),"diff", MAX(Instances!L20:Instances!L20)-MIN(Instances!L20:Instances!L20))</f>
        <v>0</v>
      </c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/>
      <c r="O20" s="1" cm="1">
        <f t="array" ref="O20">_xlfn.SWITCH($A$2,"average", AVERAGE(Instances!O20:Instances!O20),"median", MEDIAN(Instances!O20:Instances!O20),"min", MIN(Instances!O20:Instances!O20),"max", MAX(Instances!O20:Instances!O20),"diff", MAX(Instances!O20:Instances!O20)-MIN(Instances!O20:Instances!O20))</f>
        <v>0</v>
      </c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>
        <f>MIN($B20,$G20,$L20)</f>
        <v>0</v>
      </c>
      <c r="R20" s="1">
        <f>MIN($C20,$H20,$M20)</f>
        <v>0</v>
      </c>
      <c r="S20" s="1">
        <f>MIN($E20,$J20,$O20)</f>
        <v>0</v>
      </c>
      <c r="T20" s="1">
        <f>MIN($F20,$K20,$P20)</f>
        <v>0</v>
      </c>
      <c r="U20" s="1">
        <f>MEDIAN($B20,$G20,$L20)</f>
        <v>0</v>
      </c>
      <c r="V20" s="1">
        <f>MEDIAN($C20,$H20,$M20)</f>
        <v>0</v>
      </c>
      <c r="W20" s="1">
        <f>MEDIAN($E20,$J20,$O20)</f>
        <v>0</v>
      </c>
      <c r="X20" s="1">
        <f>MEDIAN($F20,$K20,$P20)</f>
        <v>0</v>
      </c>
      <c r="Y20" s="1">
        <f>MAX($B20,$G20,$L20)</f>
        <v>0</v>
      </c>
      <c r="Z20" s="1">
        <f>MAX($C20,$H20,$M20)</f>
        <v>0</v>
      </c>
      <c r="AA20" s="1">
        <f>MAX($E20,$J20,$O20)</f>
        <v>0</v>
      </c>
      <c r="AB20" s="1">
        <f>MAX($F20,$K20,$P20)</f>
        <v>0</v>
      </c>
    </row>
    <row r="21" spans="1:28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/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/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 cm="1">
        <f t="array" ref="L21">_xlfn.SWITCH($A$2,"average", AVERAGE(Instances!L21:Instances!L21),"median", MEDIAN(Instances!L21:Instances!L21),"min", MIN(Instances!L21:Instances!L21),"max", MAX(Instances!L21:Instances!L21),"diff", MAX(Instances!L21:Instances!L21)-MIN(Instances!L21:Instances!L21))</f>
        <v>0</v>
      </c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/>
      <c r="O21" s="1" cm="1">
        <f t="array" ref="O21">_xlfn.SWITCH($A$2,"average", AVERAGE(Instances!O21:Instances!O21),"median", MEDIAN(Instances!O21:Instances!O21),"min", MIN(Instances!O21:Instances!O21),"max", MAX(Instances!O21:Instances!O21),"diff", MAX(Instances!O21:Instances!O21)-MIN(Instances!O21:Instances!O21))</f>
        <v>0</v>
      </c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>
        <f>MIN($B21,$G21,$L21)</f>
        <v>0</v>
      </c>
      <c r="R21" s="1">
        <f>MIN($C21,$H21,$M21)</f>
        <v>0</v>
      </c>
      <c r="S21" s="1">
        <f>MIN($E21,$J21,$O21)</f>
        <v>0</v>
      </c>
      <c r="T21" s="1">
        <f>MIN($F21,$K21,$P21)</f>
        <v>0</v>
      </c>
      <c r="U21" s="1">
        <f>MEDIAN($B21,$G21,$L21)</f>
        <v>0</v>
      </c>
      <c r="V21" s="1">
        <f>MEDIAN($C21,$H21,$M21)</f>
        <v>0</v>
      </c>
      <c r="W21" s="1">
        <f>MEDIAN($E21,$J21,$O21)</f>
        <v>0</v>
      </c>
      <c r="X21" s="1">
        <f>MEDIAN($F21,$K21,$P21)</f>
        <v>0</v>
      </c>
      <c r="Y21" s="1">
        <f>MAX($B21,$G21,$L21)</f>
        <v>0</v>
      </c>
      <c r="Z21" s="1">
        <f>MAX($C21,$H21,$M21)</f>
        <v>0</v>
      </c>
      <c r="AA21" s="1">
        <f>MAX($E21,$J21,$O21)</f>
        <v>0</v>
      </c>
      <c r="AB21" s="1">
        <f>MAX($F21,$K21,$P21)</f>
        <v>0</v>
      </c>
    </row>
    <row r="22" spans="1:28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/>
      <c r="D22" s="1"/>
      <c r="E22" s="1"/>
      <c r="F22" s="1"/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/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 cm="1">
        <f t="array" ref="L22">_xlfn.SWITCH($A$2,"average", AVERAGE(Instances!L22:Instances!L22),"median", MEDIAN(Instances!L22:Instances!L22),"min", MIN(Instances!L22:Instances!L22),"max", MAX(Instances!L22:Instances!L22),"diff", MAX(Instances!L22:Instances!L22)-MIN(Instances!L22:Instances!L22))</f>
        <v>0</v>
      </c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/>
      <c r="O22" s="1" cm="1">
        <f t="array" ref="O22">_xlfn.SWITCH($A$2,"average", AVERAGE(Instances!O22:Instances!O22),"median", MEDIAN(Instances!O22:Instances!O22),"min", MIN(Instances!O22:Instances!O22),"max", MAX(Instances!O22:Instances!O22),"diff", MAX(Instances!O22:Instances!O22)-MIN(Instances!O22:Instances!O22))</f>
        <v>0</v>
      </c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>
        <f>MIN($B22,$G22,$L22)</f>
        <v>0</v>
      </c>
      <c r="R22" s="1">
        <f>MIN($C22,$H22,$M22)</f>
        <v>0</v>
      </c>
      <c r="S22" s="1">
        <f>MIN($E22,$J22,$O22)</f>
        <v>0</v>
      </c>
      <c r="T22" s="1">
        <f>MIN($F22,$K22,$P22)</f>
        <v>0</v>
      </c>
      <c r="U22" s="1">
        <f>MEDIAN($B22,$G22,$L22)</f>
        <v>0</v>
      </c>
      <c r="V22" s="1">
        <f>MEDIAN($C22,$H22,$M22)</f>
        <v>0</v>
      </c>
      <c r="W22" s="1">
        <f>MEDIAN($E22,$J22,$O22)</f>
        <v>0</v>
      </c>
      <c r="X22" s="1">
        <f>MEDIAN($F22,$K22,$P22)</f>
        <v>0</v>
      </c>
      <c r="Y22" s="1">
        <f>MAX($B22,$G22,$L22)</f>
        <v>0</v>
      </c>
      <c r="Z22" s="1">
        <f>MAX($C22,$H22,$M22)</f>
        <v>0</v>
      </c>
      <c r="AA22" s="1">
        <f>MAX($E22,$J22,$O22)</f>
        <v>0</v>
      </c>
      <c r="AB22" s="1">
        <f>MAX($F22,$K22,$P22)</f>
        <v>0</v>
      </c>
    </row>
    <row r="23" spans="1:28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/>
      <c r="D23" s="1"/>
      <c r="E23" s="1"/>
      <c r="F23" s="1"/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/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 cm="1">
        <f t="array" ref="L23">_xlfn.SWITCH($A$2,"average", AVERAGE(Instances!L23:Instances!L23),"median", MEDIAN(Instances!L23:Instances!L23),"min", MIN(Instances!L23:Instances!L23),"max", MAX(Instances!L23:Instances!L23),"diff", MAX(Instances!L23:Instances!L23)-MIN(Instances!L23:Instances!L23))</f>
        <v>0</v>
      </c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/>
      <c r="O23" s="1" cm="1">
        <f t="array" ref="O23">_xlfn.SWITCH($A$2,"average", AVERAGE(Instances!O23:Instances!O23),"median", MEDIAN(Instances!O23:Instances!O23),"min", MIN(Instances!O23:Instances!O23),"max", MAX(Instances!O23:Instances!O23),"diff", MAX(Instances!O23:Instances!O23)-MIN(Instances!O23:Instances!O23))</f>
        <v>0</v>
      </c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>
        <f>MIN($B23,$G23,$L23)</f>
        <v>0</v>
      </c>
      <c r="R23" s="1">
        <f>MIN($C23,$H23,$M23)</f>
        <v>0</v>
      </c>
      <c r="S23" s="1">
        <f>MIN($E23,$J23,$O23)</f>
        <v>0</v>
      </c>
      <c r="T23" s="1">
        <f>MIN($F23,$K23,$P23)</f>
        <v>0</v>
      </c>
      <c r="U23" s="1">
        <f>MEDIAN($B23,$G23,$L23)</f>
        <v>0</v>
      </c>
      <c r="V23" s="1">
        <f>MEDIAN($C23,$H23,$M23)</f>
        <v>0</v>
      </c>
      <c r="W23" s="1">
        <f>MEDIAN($E23,$J23,$O23)</f>
        <v>0</v>
      </c>
      <c r="X23" s="1">
        <f>MEDIAN($F23,$K23,$P23)</f>
        <v>0</v>
      </c>
      <c r="Y23" s="1">
        <f>MAX($B23,$G23,$L23)</f>
        <v>0</v>
      </c>
      <c r="Z23" s="1">
        <f>MAX($C23,$H23,$M23)</f>
        <v>0</v>
      </c>
      <c r="AA23" s="1">
        <f>MAX($E23,$J23,$O23)</f>
        <v>0</v>
      </c>
      <c r="AB23" s="1">
        <f>MAX($F23,$K23,$P23)</f>
        <v>0</v>
      </c>
    </row>
    <row r="24" spans="1:28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/>
      <c r="D24" s="1"/>
      <c r="E24" s="1"/>
      <c r="F24" s="1"/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/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 cm="1">
        <f t="array" ref="L24">_xlfn.SWITCH($A$2,"average", AVERAGE(Instances!L24:Instances!L24),"median", MEDIAN(Instances!L24:Instances!L24),"min", MIN(Instances!L24:Instances!L24),"max", MAX(Instances!L24:Instances!L24),"diff", MAX(Instances!L24:Instances!L24)-MIN(Instances!L24:Instances!L24))</f>
        <v>0</v>
      </c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/>
      <c r="O24" s="1" cm="1">
        <f t="array" ref="O24">_xlfn.SWITCH($A$2,"average", AVERAGE(Instances!O24:Instances!O24),"median", MEDIAN(Instances!O24:Instances!O24),"min", MIN(Instances!O24:Instances!O24),"max", MAX(Instances!O24:Instances!O24),"diff", MAX(Instances!O24:Instances!O24)-MIN(Instances!O24:Instances!O24))</f>
        <v>0</v>
      </c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>
        <f>MIN($B24,$G24,$L24)</f>
        <v>0</v>
      </c>
      <c r="R24" s="1">
        <f>MIN($C24,$H24,$M24)</f>
        <v>0</v>
      </c>
      <c r="S24" s="1">
        <f>MIN($E24,$J24,$O24)</f>
        <v>0</v>
      </c>
      <c r="T24" s="1">
        <f>MIN($F24,$K24,$P24)</f>
        <v>0</v>
      </c>
      <c r="U24" s="1">
        <f>MEDIAN($B24,$G24,$L24)</f>
        <v>0</v>
      </c>
      <c r="V24" s="1">
        <f>MEDIAN($C24,$H24,$M24)</f>
        <v>0</v>
      </c>
      <c r="W24" s="1">
        <f>MEDIAN($E24,$J24,$O24)</f>
        <v>0</v>
      </c>
      <c r="X24" s="1">
        <f>MEDIAN($F24,$K24,$P24)</f>
        <v>0</v>
      </c>
      <c r="Y24" s="1">
        <f>MAX($B24,$G24,$L24)</f>
        <v>0</v>
      </c>
      <c r="Z24" s="1">
        <f>MAX($C24,$H24,$M24)</f>
        <v>0</v>
      </c>
      <c r="AA24" s="1">
        <f>MAX($E24,$J24,$O24)</f>
        <v>0</v>
      </c>
      <c r="AB24" s="1">
        <f>MAX($F24,$K24,$P24)</f>
        <v>0</v>
      </c>
    </row>
    <row r="25" spans="1:28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/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/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 cm="1">
        <f t="array" ref="L25">_xlfn.SWITCH($A$2,"average", AVERAGE(Instances!L25:Instances!L25),"median", MEDIAN(Instances!L25:Instances!L25),"min", MIN(Instances!L25:Instances!L25),"max", MAX(Instances!L25:Instances!L25),"diff", MAX(Instances!L25:Instances!L25)-MIN(Instances!L25:Instances!L25))</f>
        <v>0</v>
      </c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/>
      <c r="O25" s="1" cm="1">
        <f t="array" ref="O25">_xlfn.SWITCH($A$2,"average", AVERAGE(Instances!O25:Instances!O25),"median", MEDIAN(Instances!O25:Instances!O25),"min", MIN(Instances!O25:Instances!O25),"max", MAX(Instances!O25:Instances!O25),"diff", MAX(Instances!O25:Instances!O25)-MIN(Instances!O25:Instances!O25))</f>
        <v>0</v>
      </c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>
        <f>MIN($B25,$G25,$L25)</f>
        <v>0</v>
      </c>
      <c r="R25" s="1">
        <f>MIN($C25,$H25,$M25)</f>
        <v>0</v>
      </c>
      <c r="S25" s="1">
        <f>MIN($E25,$J25,$O25)</f>
        <v>0</v>
      </c>
      <c r="T25" s="1">
        <f>MIN($F25,$K25,$P25)</f>
        <v>0</v>
      </c>
      <c r="U25" s="1">
        <f>MEDIAN($B25,$G25,$L25)</f>
        <v>0</v>
      </c>
      <c r="V25" s="1">
        <f>MEDIAN($C25,$H25,$M25)</f>
        <v>0</v>
      </c>
      <c r="W25" s="1">
        <f>MEDIAN($E25,$J25,$O25)</f>
        <v>0</v>
      </c>
      <c r="X25" s="1">
        <f>MEDIAN($F25,$K25,$P25)</f>
        <v>0</v>
      </c>
      <c r="Y25" s="1">
        <f>MAX($B25,$G25,$L25)</f>
        <v>0</v>
      </c>
      <c r="Z25" s="1">
        <f>MAX($C25,$H25,$M25)</f>
        <v>0</v>
      </c>
      <c r="AA25" s="1">
        <f>MAX($E25,$J25,$O25)</f>
        <v>0</v>
      </c>
      <c r="AB25" s="1">
        <f>MAX($F25,$K25,$P25)</f>
        <v>0</v>
      </c>
    </row>
    <row r="26" spans="1:28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/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/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 cm="1">
        <f t="array" ref="L26">_xlfn.SWITCH($A$2,"average", AVERAGE(Instances!L26:Instances!L26),"median", MEDIAN(Instances!L26:Instances!L26),"min", MIN(Instances!L26:Instances!L26),"max", MAX(Instances!L26:Instances!L26),"diff", MAX(Instances!L26:Instances!L26)-MIN(Instances!L26:Instances!L26))</f>
        <v>0</v>
      </c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/>
      <c r="O26" s="1" cm="1">
        <f t="array" ref="O26">_xlfn.SWITCH($A$2,"average", AVERAGE(Instances!O26:Instances!O26),"median", MEDIAN(Instances!O26:Instances!O26),"min", MIN(Instances!O26:Instances!O26),"max", MAX(Instances!O26:Instances!O26),"diff", MAX(Instances!O26:Instances!O26)-MIN(Instances!O26:Instances!O26))</f>
        <v>0</v>
      </c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>
        <f>MIN($B26,$G26,$L26)</f>
        <v>0</v>
      </c>
      <c r="R26" s="1">
        <f>MIN($C26,$H26,$M26)</f>
        <v>0</v>
      </c>
      <c r="S26" s="1">
        <f>MIN($E26,$J26,$O26)</f>
        <v>0</v>
      </c>
      <c r="T26" s="1">
        <f>MIN($F26,$K26,$P26)</f>
        <v>0</v>
      </c>
      <c r="U26" s="1">
        <f>MEDIAN($B26,$G26,$L26)</f>
        <v>0</v>
      </c>
      <c r="V26" s="1">
        <f>MEDIAN($C26,$H26,$M26)</f>
        <v>0</v>
      </c>
      <c r="W26" s="1">
        <f>MEDIAN($E26,$J26,$O26)</f>
        <v>0</v>
      </c>
      <c r="X26" s="1">
        <f>MEDIAN($F26,$K26,$P26)</f>
        <v>0</v>
      </c>
      <c r="Y26" s="1">
        <f>MAX($B26,$G26,$L26)</f>
        <v>0</v>
      </c>
      <c r="Z26" s="1">
        <f>MAX($C26,$H26,$M26)</f>
        <v>0</v>
      </c>
      <c r="AA26" s="1">
        <f>MAX($E26,$J26,$O26)</f>
        <v>0</v>
      </c>
      <c r="AB26" s="1">
        <f>MAX($F26,$K26,$P26)</f>
        <v>0</v>
      </c>
    </row>
    <row r="27" spans="1:28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/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/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 cm="1">
        <f t="array" ref="L27">_xlfn.SWITCH($A$2,"average", AVERAGE(Instances!L27:Instances!L27),"median", MEDIAN(Instances!L27:Instances!L27),"min", MIN(Instances!L27:Instances!L27),"max", MAX(Instances!L27:Instances!L27),"diff", MAX(Instances!L27:Instances!L27)-MIN(Instances!L27:Instances!L27))</f>
        <v>0</v>
      </c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/>
      <c r="O27" s="1" cm="1">
        <f t="array" ref="O27">_xlfn.SWITCH($A$2,"average", AVERAGE(Instances!O27:Instances!O27),"median", MEDIAN(Instances!O27:Instances!O27),"min", MIN(Instances!O27:Instances!O27),"max", MAX(Instances!O27:Instances!O27),"diff", MAX(Instances!O27:Instances!O27)-MIN(Instances!O27:Instances!O27))</f>
        <v>0</v>
      </c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>
        <f>MIN($B27,$G27,$L27)</f>
        <v>0</v>
      </c>
      <c r="R27" s="1">
        <f>MIN($C27,$H27,$M27)</f>
        <v>0</v>
      </c>
      <c r="S27" s="1">
        <f>MIN($E27,$J27,$O27)</f>
        <v>0</v>
      </c>
      <c r="T27" s="1">
        <f>MIN($F27,$K27,$P27)</f>
        <v>0</v>
      </c>
      <c r="U27" s="1">
        <f>MEDIAN($B27,$G27,$L27)</f>
        <v>0</v>
      </c>
      <c r="V27" s="1">
        <f>MEDIAN($C27,$H27,$M27)</f>
        <v>0</v>
      </c>
      <c r="W27" s="1">
        <f>MEDIAN($E27,$J27,$O27)</f>
        <v>0</v>
      </c>
      <c r="X27" s="1">
        <f>MEDIAN($F27,$K27,$P27)</f>
        <v>0</v>
      </c>
      <c r="Y27" s="1">
        <f>MAX($B27,$G27,$L27)</f>
        <v>0</v>
      </c>
      <c r="Z27" s="1">
        <f>MAX($C27,$H27,$M27)</f>
        <v>0</v>
      </c>
      <c r="AA27" s="1">
        <f>MAX($E27,$J27,$O27)</f>
        <v>0</v>
      </c>
      <c r="AB27" s="1">
        <f>MAX($F27,$K27,$P27)</f>
        <v>0</v>
      </c>
    </row>
    <row r="28" spans="1:28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/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/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 cm="1">
        <f t="array" ref="L28">_xlfn.SWITCH($A$2,"average", AVERAGE(Instances!L28:Instances!L28),"median", MEDIAN(Instances!L28:Instances!L28),"min", MIN(Instances!L28:Instances!L28),"max", MAX(Instances!L28:Instances!L28),"diff", MAX(Instances!L28:Instances!L28)-MIN(Instances!L28:Instances!L28))</f>
        <v>0</v>
      </c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/>
      <c r="O28" s="1" cm="1">
        <f t="array" ref="O28">_xlfn.SWITCH($A$2,"average", AVERAGE(Instances!O28:Instances!O28),"median", MEDIAN(Instances!O28:Instances!O28),"min", MIN(Instances!O28:Instances!O28),"max", MAX(Instances!O28:Instances!O28),"diff", MAX(Instances!O28:Instances!O28)-MIN(Instances!O28:Instances!O28))</f>
        <v>0</v>
      </c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>
        <f>MIN($B28,$G28,$L28)</f>
        <v>0</v>
      </c>
      <c r="R28" s="1">
        <f>MIN($C28,$H28,$M28)</f>
        <v>0</v>
      </c>
      <c r="S28" s="1">
        <f>MIN($E28,$J28,$O28)</f>
        <v>0</v>
      </c>
      <c r="T28" s="1">
        <f>MIN($F28,$K28,$P28)</f>
        <v>0</v>
      </c>
      <c r="U28" s="1">
        <f>MEDIAN($B28,$G28,$L28)</f>
        <v>0</v>
      </c>
      <c r="V28" s="1">
        <f>MEDIAN($C28,$H28,$M28)</f>
        <v>0</v>
      </c>
      <c r="W28" s="1">
        <f>MEDIAN($E28,$J28,$O28)</f>
        <v>0</v>
      </c>
      <c r="X28" s="1">
        <f>MEDIAN($F28,$K28,$P28)</f>
        <v>0</v>
      </c>
      <c r="Y28" s="1">
        <f>MAX($B28,$G28,$L28)</f>
        <v>0</v>
      </c>
      <c r="Z28" s="1">
        <f>MAX($C28,$H28,$M28)</f>
        <v>0</v>
      </c>
      <c r="AA28" s="1">
        <f>MAX($E28,$J28,$O28)</f>
        <v>0</v>
      </c>
      <c r="AB28" s="1">
        <f>MAX($F28,$K28,$P28)</f>
        <v>0</v>
      </c>
    </row>
    <row r="29" spans="1:28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/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/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 cm="1">
        <f t="array" ref="L29">_xlfn.SWITCH($A$2,"average", AVERAGE(Instances!L29:Instances!L29),"median", MEDIAN(Instances!L29:Instances!L29),"min", MIN(Instances!L29:Instances!L29),"max", MAX(Instances!L29:Instances!L29),"diff", MAX(Instances!L29:Instances!L29)-MIN(Instances!L29:Instances!L29))</f>
        <v>0</v>
      </c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/>
      <c r="O29" s="1" cm="1">
        <f t="array" ref="O29">_xlfn.SWITCH($A$2,"average", AVERAGE(Instances!O29:Instances!O29),"median", MEDIAN(Instances!O29:Instances!O29),"min", MIN(Instances!O29:Instances!O29),"max", MAX(Instances!O29:Instances!O29),"diff", MAX(Instances!O29:Instances!O29)-MIN(Instances!O29:Instances!O29))</f>
        <v>0</v>
      </c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>
        <f>MIN($B29,$G29,$L29)</f>
        <v>0</v>
      </c>
      <c r="R29" s="1">
        <f>MIN($C29,$H29,$M29)</f>
        <v>0</v>
      </c>
      <c r="S29" s="1">
        <f>MIN($E29,$J29,$O29)</f>
        <v>0</v>
      </c>
      <c r="T29" s="1">
        <f>MIN($F29,$K29,$P29)</f>
        <v>0</v>
      </c>
      <c r="U29" s="1">
        <f>MEDIAN($B29,$G29,$L29)</f>
        <v>0</v>
      </c>
      <c r="V29" s="1">
        <f>MEDIAN($C29,$H29,$M29)</f>
        <v>0</v>
      </c>
      <c r="W29" s="1">
        <f>MEDIAN($E29,$J29,$O29)</f>
        <v>0</v>
      </c>
      <c r="X29" s="1">
        <f>MEDIAN($F29,$K29,$P29)</f>
        <v>0</v>
      </c>
      <c r="Y29" s="1">
        <f>MAX($B29,$G29,$L29)</f>
        <v>0</v>
      </c>
      <c r="Z29" s="1">
        <f>MAX($C29,$H29,$M29)</f>
        <v>0</v>
      </c>
      <c r="AA29" s="1">
        <f>MAX($E29,$J29,$O29)</f>
        <v>0</v>
      </c>
      <c r="AB29" s="1">
        <f>MAX($F29,$K29,$P29)</f>
        <v>0</v>
      </c>
    </row>
    <row r="30" spans="1:28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/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/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 cm="1">
        <f t="array" ref="L30">_xlfn.SWITCH($A$2,"average", AVERAGE(Instances!L30:Instances!L30),"median", MEDIAN(Instances!L30:Instances!L30),"min", MIN(Instances!L30:Instances!L30),"max", MAX(Instances!L30:Instances!L30),"diff", MAX(Instances!L30:Instances!L30)-MIN(Instances!L30:Instances!L30))</f>
        <v>0</v>
      </c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/>
      <c r="O30" s="1" cm="1">
        <f t="array" ref="O30">_xlfn.SWITCH($A$2,"average", AVERAGE(Instances!O30:Instances!O30),"median", MEDIAN(Instances!O30:Instances!O30),"min", MIN(Instances!O30:Instances!O30),"max", MAX(Instances!O30:Instances!O30),"diff", MAX(Instances!O30:Instances!O30)-MIN(Instances!O30:Instances!O30))</f>
        <v>0</v>
      </c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>
        <f>MIN($B30,$G30,$L30)</f>
        <v>0</v>
      </c>
      <c r="R30" s="1">
        <f>MIN($C30,$H30,$M30)</f>
        <v>0</v>
      </c>
      <c r="S30" s="1">
        <f>MIN($E30,$J30,$O30)</f>
        <v>0</v>
      </c>
      <c r="T30" s="1">
        <f>MIN($F30,$K30,$P30)</f>
        <v>0</v>
      </c>
      <c r="U30" s="1">
        <f>MEDIAN($B30,$G30,$L30)</f>
        <v>0</v>
      </c>
      <c r="V30" s="1">
        <f>MEDIAN($C30,$H30,$M30)</f>
        <v>0</v>
      </c>
      <c r="W30" s="1">
        <f>MEDIAN($E30,$J30,$O30)</f>
        <v>0</v>
      </c>
      <c r="X30" s="1">
        <f>MEDIAN($F30,$K30,$P30)</f>
        <v>0</v>
      </c>
      <c r="Y30" s="1">
        <f>MAX($B30,$G30,$L30)</f>
        <v>0</v>
      </c>
      <c r="Z30" s="1">
        <f>MAX($C30,$H30,$M30)</f>
        <v>0</v>
      </c>
      <c r="AA30" s="1">
        <f>MAX($E30,$J30,$O30)</f>
        <v>0</v>
      </c>
      <c r="AB30" s="1">
        <f>MAX($F30,$K30,$P30)</f>
        <v>0</v>
      </c>
    </row>
    <row r="31" spans="1:28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/>
      <c r="D31" s="1"/>
      <c r="E31" s="1"/>
      <c r="F31" s="1"/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/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 cm="1">
        <f t="array" ref="L31">_xlfn.SWITCH($A$2,"average", AVERAGE(Instances!L31:Instances!L31),"median", MEDIAN(Instances!L31:Instances!L31),"min", MIN(Instances!L31:Instances!L31),"max", MAX(Instances!L31:Instances!L31),"diff", MAX(Instances!L31:Instances!L31)-MIN(Instances!L31:Instances!L31))</f>
        <v>0</v>
      </c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/>
      <c r="O31" s="1" cm="1">
        <f t="array" ref="O31">_xlfn.SWITCH($A$2,"average", AVERAGE(Instances!O31:Instances!O31),"median", MEDIAN(Instances!O31:Instances!O31),"min", MIN(Instances!O31:Instances!O31),"max", MAX(Instances!O31:Instances!O31),"diff", MAX(Instances!O31:Instances!O31)-MIN(Instances!O31:Instances!O31))</f>
        <v>0</v>
      </c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>
        <f>MIN($B31,$G31,$L31)</f>
        <v>0</v>
      </c>
      <c r="R31" s="1">
        <f>MIN($C31,$H31,$M31)</f>
        <v>0</v>
      </c>
      <c r="S31" s="1">
        <f>MIN($E31,$J31,$O31)</f>
        <v>0</v>
      </c>
      <c r="T31" s="1">
        <f>MIN($F31,$K31,$P31)</f>
        <v>0</v>
      </c>
      <c r="U31" s="1">
        <f>MEDIAN($B31,$G31,$L31)</f>
        <v>0</v>
      </c>
      <c r="V31" s="1">
        <f>MEDIAN($C31,$H31,$M31)</f>
        <v>0</v>
      </c>
      <c r="W31" s="1">
        <f>MEDIAN($E31,$J31,$O31)</f>
        <v>0</v>
      </c>
      <c r="X31" s="1">
        <f>MEDIAN($F31,$K31,$P31)</f>
        <v>0</v>
      </c>
      <c r="Y31" s="1">
        <f>MAX($B31,$G31,$L31)</f>
        <v>0</v>
      </c>
      <c r="Z31" s="1">
        <f>MAX($C31,$H31,$M31)</f>
        <v>0</v>
      </c>
      <c r="AA31" s="1">
        <f>MAX($E31,$J31,$O31)</f>
        <v>0</v>
      </c>
      <c r="AB31" s="1">
        <f>MAX($F31,$K31,$P31)</f>
        <v>0</v>
      </c>
    </row>
    <row r="32" spans="1:28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/>
      <c r="D32" s="1"/>
      <c r="E32" s="1"/>
      <c r="F32" s="1"/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/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 cm="1">
        <f t="array" ref="L32">_xlfn.SWITCH($A$2,"average", AVERAGE(Instances!L32:Instances!L32),"median", MEDIAN(Instances!L32:Instances!L32),"min", MIN(Instances!L32:Instances!L32),"max", MAX(Instances!L32:Instances!L32),"diff", MAX(Instances!L32:Instances!L32)-MIN(Instances!L32:Instances!L32))</f>
        <v>0</v>
      </c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/>
      <c r="O32" s="1" cm="1">
        <f t="array" ref="O32">_xlfn.SWITCH($A$2,"average", AVERAGE(Instances!O32:Instances!O32),"median", MEDIAN(Instances!O32:Instances!O32),"min", MIN(Instances!O32:Instances!O32),"max", MAX(Instances!O32:Instances!O32),"diff", MAX(Instances!O32:Instances!O32)-MIN(Instances!O32:Instances!O32))</f>
        <v>0</v>
      </c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>
        <f>MIN($B32,$G32,$L32)</f>
        <v>0</v>
      </c>
      <c r="R32" s="1">
        <f>MIN($C32,$H32,$M32)</f>
        <v>0</v>
      </c>
      <c r="S32" s="1">
        <f>MIN($E32,$J32,$O32)</f>
        <v>0</v>
      </c>
      <c r="T32" s="1">
        <f>MIN($F32,$K32,$P32)</f>
        <v>0</v>
      </c>
      <c r="U32" s="1">
        <f>MEDIAN($B32,$G32,$L32)</f>
        <v>0</v>
      </c>
      <c r="V32" s="1">
        <f>MEDIAN($C32,$H32,$M32)</f>
        <v>0</v>
      </c>
      <c r="W32" s="1">
        <f>MEDIAN($E32,$J32,$O32)</f>
        <v>0</v>
      </c>
      <c r="X32" s="1">
        <f>MEDIAN($F32,$K32,$P32)</f>
        <v>0</v>
      </c>
      <c r="Y32" s="1">
        <f>MAX($B32,$G32,$L32)</f>
        <v>0</v>
      </c>
      <c r="Z32" s="1">
        <f>MAX($C32,$H32,$M32)</f>
        <v>0</v>
      </c>
      <c r="AA32" s="1">
        <f>MAX($E32,$J32,$O32)</f>
        <v>0</v>
      </c>
      <c r="AB32" s="1">
        <f>MAX($F32,$K32,$P32)</f>
        <v>0</v>
      </c>
    </row>
    <row r="33" spans="1:28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/>
      <c r="D33" s="1"/>
      <c r="E33" s="1"/>
      <c r="F33" s="1"/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/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 cm="1">
        <f t="array" ref="L33">_xlfn.SWITCH($A$2,"average", AVERAGE(Instances!L33:Instances!L33),"median", MEDIAN(Instances!L33:Instances!L33),"min", MIN(Instances!L33:Instances!L33),"max", MAX(Instances!L33:Instances!L33),"diff", MAX(Instances!L33:Instances!L33)-MIN(Instances!L33:Instances!L33))</f>
        <v>0</v>
      </c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/>
      <c r="O33" s="1" cm="1">
        <f t="array" ref="O33">_xlfn.SWITCH($A$2,"average", AVERAGE(Instances!O33:Instances!O33),"median", MEDIAN(Instances!O33:Instances!O33),"min", MIN(Instances!O33:Instances!O33),"max", MAX(Instances!O33:Instances!O33),"diff", MAX(Instances!O33:Instances!O33)-MIN(Instances!O33:Instances!O33))</f>
        <v>0</v>
      </c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>
        <f>MIN($B33,$G33,$L33)</f>
        <v>0</v>
      </c>
      <c r="R33" s="1">
        <f>MIN($C33,$H33,$M33)</f>
        <v>0</v>
      </c>
      <c r="S33" s="1">
        <f>MIN($E33,$J33,$O33)</f>
        <v>0</v>
      </c>
      <c r="T33" s="1">
        <f>MIN($F33,$K33,$P33)</f>
        <v>0</v>
      </c>
      <c r="U33" s="1">
        <f>MEDIAN($B33,$G33,$L33)</f>
        <v>0</v>
      </c>
      <c r="V33" s="1">
        <f>MEDIAN($C33,$H33,$M33)</f>
        <v>0</v>
      </c>
      <c r="W33" s="1">
        <f>MEDIAN($E33,$J33,$O33)</f>
        <v>0</v>
      </c>
      <c r="X33" s="1">
        <f>MEDIAN($F33,$K33,$P33)</f>
        <v>0</v>
      </c>
      <c r="Y33" s="1">
        <f>MAX($B33,$G33,$L33)</f>
        <v>0</v>
      </c>
      <c r="Z33" s="1">
        <f>MAX($C33,$H33,$M33)</f>
        <v>0</v>
      </c>
      <c r="AA33" s="1">
        <f>MAX($E33,$J33,$O33)</f>
        <v>0</v>
      </c>
      <c r="AB33" s="1">
        <f>MAX($F33,$K33,$P33)</f>
        <v>0</v>
      </c>
    </row>
    <row r="34" spans="1:28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/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/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 cm="1">
        <f t="array" ref="L34">_xlfn.SWITCH($A$2,"average", AVERAGE(Instances!L34:Instances!L34),"median", MEDIAN(Instances!L34:Instances!L34),"min", MIN(Instances!L34:Instances!L34),"max", MAX(Instances!L34:Instances!L34),"diff", MAX(Instances!L34:Instances!L34)-MIN(Instances!L34:Instances!L34))</f>
        <v>0</v>
      </c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/>
      <c r="O34" s="1" cm="1">
        <f t="array" ref="O34">_xlfn.SWITCH($A$2,"average", AVERAGE(Instances!O34:Instances!O34),"median", MEDIAN(Instances!O34:Instances!O34),"min", MIN(Instances!O34:Instances!O34),"max", MAX(Instances!O34:Instances!O34),"diff", MAX(Instances!O34:Instances!O34)-MIN(Instances!O34:Instances!O34))</f>
        <v>0</v>
      </c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>
        <f>MIN($B34,$G34,$L34)</f>
        <v>0</v>
      </c>
      <c r="R34" s="1">
        <f>MIN($C34,$H34,$M34)</f>
        <v>0</v>
      </c>
      <c r="S34" s="1">
        <f>MIN($E34,$J34,$O34)</f>
        <v>0</v>
      </c>
      <c r="T34" s="1">
        <f>MIN($F34,$K34,$P34)</f>
        <v>0</v>
      </c>
      <c r="U34" s="1">
        <f>MEDIAN($B34,$G34,$L34)</f>
        <v>0</v>
      </c>
      <c r="V34" s="1">
        <f>MEDIAN($C34,$H34,$M34)</f>
        <v>0</v>
      </c>
      <c r="W34" s="1">
        <f>MEDIAN($E34,$J34,$O34)</f>
        <v>0</v>
      </c>
      <c r="X34" s="1">
        <f>MEDIAN($F34,$K34,$P34)</f>
        <v>0</v>
      </c>
      <c r="Y34" s="1">
        <f>MAX($B34,$G34,$L34)</f>
        <v>0</v>
      </c>
      <c r="Z34" s="1">
        <f>MAX($C34,$H34,$M34)</f>
        <v>0</v>
      </c>
      <c r="AA34" s="1">
        <f>MAX($E34,$J34,$O34)</f>
        <v>0</v>
      </c>
      <c r="AB34" s="1">
        <f>MAX($F34,$K34,$P34)</f>
        <v>0</v>
      </c>
    </row>
    <row r="35" spans="1:28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/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/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 cm="1">
        <f t="array" ref="L35">_xlfn.SWITCH($A$2,"average", AVERAGE(Instances!L35:Instances!L35),"median", MEDIAN(Instances!L35:Instances!L35),"min", MIN(Instances!L35:Instances!L35),"max", MAX(Instances!L35:Instances!L35),"diff", MAX(Instances!L35:Instances!L35)-MIN(Instances!L35:Instances!L35))</f>
        <v>0</v>
      </c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/>
      <c r="O35" s="1" cm="1">
        <f t="array" ref="O35">_xlfn.SWITCH($A$2,"average", AVERAGE(Instances!O35:Instances!O35),"median", MEDIAN(Instances!O35:Instances!O35),"min", MIN(Instances!O35:Instances!O35),"max", MAX(Instances!O35:Instances!O35),"diff", MAX(Instances!O35:Instances!O35)-MIN(Instances!O35:Instances!O35))</f>
        <v>0</v>
      </c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>
        <f>MIN($B35,$G35,$L35)</f>
        <v>0</v>
      </c>
      <c r="R35" s="1">
        <f>MIN($C35,$H35,$M35)</f>
        <v>0</v>
      </c>
      <c r="S35" s="1">
        <f>MIN($E35,$J35,$O35)</f>
        <v>0</v>
      </c>
      <c r="T35" s="1">
        <f>MIN($F35,$K35,$P35)</f>
        <v>0</v>
      </c>
      <c r="U35" s="1">
        <f>MEDIAN($B35,$G35,$L35)</f>
        <v>0</v>
      </c>
      <c r="V35" s="1">
        <f>MEDIAN($C35,$H35,$M35)</f>
        <v>0</v>
      </c>
      <c r="W35" s="1">
        <f>MEDIAN($E35,$J35,$O35)</f>
        <v>0</v>
      </c>
      <c r="X35" s="1">
        <f>MEDIAN($F35,$K35,$P35)</f>
        <v>0</v>
      </c>
      <c r="Y35" s="1">
        <f>MAX($B35,$G35,$L35)</f>
        <v>0</v>
      </c>
      <c r="Z35" s="1">
        <f>MAX($C35,$H35,$M35)</f>
        <v>0</v>
      </c>
      <c r="AA35" s="1">
        <f>MAX($E35,$J35,$O35)</f>
        <v>0</v>
      </c>
      <c r="AB35" s="1">
        <f>MAX($F35,$K35,$P35)</f>
        <v>0</v>
      </c>
    </row>
    <row r="36" spans="1:28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/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/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 cm="1">
        <f t="array" ref="L36">_xlfn.SWITCH($A$2,"average", AVERAGE(Instances!L36:Instances!L36),"median", MEDIAN(Instances!L36:Instances!L36),"min", MIN(Instances!L36:Instances!L36),"max", MAX(Instances!L36:Instances!L36),"diff", MAX(Instances!L36:Instances!L36)-MIN(Instances!L36:Instances!L36))</f>
        <v>0</v>
      </c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/>
      <c r="O36" s="1" cm="1">
        <f t="array" ref="O36">_xlfn.SWITCH($A$2,"average", AVERAGE(Instances!O36:Instances!O36),"median", MEDIAN(Instances!O36:Instances!O36),"min", MIN(Instances!O36:Instances!O36),"max", MAX(Instances!O36:Instances!O36),"diff", MAX(Instances!O36:Instances!O36)-MIN(Instances!O36:Instances!O36))</f>
        <v>0</v>
      </c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>
        <f>MIN($B36,$G36,$L36)</f>
        <v>0</v>
      </c>
      <c r="R36" s="1">
        <f>MIN($C36,$H36,$M36)</f>
        <v>0</v>
      </c>
      <c r="S36" s="1">
        <f>MIN($E36,$J36,$O36)</f>
        <v>0</v>
      </c>
      <c r="T36" s="1">
        <f>MIN($F36,$K36,$P36)</f>
        <v>0</v>
      </c>
      <c r="U36" s="1">
        <f>MEDIAN($B36,$G36,$L36)</f>
        <v>0</v>
      </c>
      <c r="V36" s="1">
        <f>MEDIAN($C36,$H36,$M36)</f>
        <v>0</v>
      </c>
      <c r="W36" s="1">
        <f>MEDIAN($E36,$J36,$O36)</f>
        <v>0</v>
      </c>
      <c r="X36" s="1">
        <f>MEDIAN($F36,$K36,$P36)</f>
        <v>0</v>
      </c>
      <c r="Y36" s="1">
        <f>MAX($B36,$G36,$L36)</f>
        <v>0</v>
      </c>
      <c r="Z36" s="1">
        <f>MAX($C36,$H36,$M36)</f>
        <v>0</v>
      </c>
      <c r="AA36" s="1">
        <f>MAX($E36,$J36,$O36)</f>
        <v>0</v>
      </c>
      <c r="AB36" s="1">
        <f>MAX($F36,$K36,$P36)</f>
        <v>0</v>
      </c>
    </row>
    <row r="37" spans="1:28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/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/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 cm="1">
        <f t="array" ref="L37">_xlfn.SWITCH($A$2,"average", AVERAGE(Instances!L37:Instances!L37),"median", MEDIAN(Instances!L37:Instances!L37),"min", MIN(Instances!L37:Instances!L37),"max", MAX(Instances!L37:Instances!L37),"diff", MAX(Instances!L37:Instances!L37)-MIN(Instances!L37:Instances!L37))</f>
        <v>0</v>
      </c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/>
      <c r="O37" s="1" cm="1">
        <f t="array" ref="O37">_xlfn.SWITCH($A$2,"average", AVERAGE(Instances!O37:Instances!O37),"median", MEDIAN(Instances!O37:Instances!O37),"min", MIN(Instances!O37:Instances!O37),"max", MAX(Instances!O37:Instances!O37),"diff", MAX(Instances!O37:Instances!O37)-MIN(Instances!O37:Instances!O37))</f>
        <v>0</v>
      </c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>
        <f>MIN($B37,$G37,$L37)</f>
        <v>0</v>
      </c>
      <c r="R37" s="1">
        <f>MIN($C37,$H37,$M37)</f>
        <v>0</v>
      </c>
      <c r="S37" s="1">
        <f>MIN($E37,$J37,$O37)</f>
        <v>0</v>
      </c>
      <c r="T37" s="1">
        <f>MIN($F37,$K37,$P37)</f>
        <v>0</v>
      </c>
      <c r="U37" s="1">
        <f>MEDIAN($B37,$G37,$L37)</f>
        <v>0</v>
      </c>
      <c r="V37" s="1">
        <f>MEDIAN($C37,$H37,$M37)</f>
        <v>0</v>
      </c>
      <c r="W37" s="1">
        <f>MEDIAN($E37,$J37,$O37)</f>
        <v>0</v>
      </c>
      <c r="X37" s="1">
        <f>MEDIAN($F37,$K37,$P37)</f>
        <v>0</v>
      </c>
      <c r="Y37" s="1">
        <f>MAX($B37,$G37,$L37)</f>
        <v>0</v>
      </c>
      <c r="Z37" s="1">
        <f>MAX($C37,$H37,$M37)</f>
        <v>0</v>
      </c>
      <c r="AA37" s="1">
        <f>MAX($E37,$J37,$O37)</f>
        <v>0</v>
      </c>
      <c r="AB37" s="1">
        <f>MAX($F37,$K37,$P37)</f>
        <v>0</v>
      </c>
    </row>
    <row r="38" spans="1:28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/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/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 cm="1">
        <f t="array" ref="L38">_xlfn.SWITCH($A$2,"average", AVERAGE(Instances!L38:Instances!L38),"median", MEDIAN(Instances!L38:Instances!L38),"min", MIN(Instances!L38:Instances!L38),"max", MAX(Instances!L38:Instances!L38),"diff", MAX(Instances!L38:Instances!L38)-MIN(Instances!L38:Instances!L38))</f>
        <v>0</v>
      </c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/>
      <c r="O38" s="1" cm="1">
        <f t="array" ref="O38">_xlfn.SWITCH($A$2,"average", AVERAGE(Instances!O38:Instances!O38),"median", MEDIAN(Instances!O38:Instances!O38),"min", MIN(Instances!O38:Instances!O38),"max", MAX(Instances!O38:Instances!O38),"diff", MAX(Instances!O38:Instances!O38)-MIN(Instances!O38:Instances!O38))</f>
        <v>0</v>
      </c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>
        <f>MIN($B38,$G38,$L38)</f>
        <v>0</v>
      </c>
      <c r="R38" s="1">
        <f>MIN($C38,$H38,$M38)</f>
        <v>0</v>
      </c>
      <c r="S38" s="1">
        <f>MIN($E38,$J38,$O38)</f>
        <v>0</v>
      </c>
      <c r="T38" s="1">
        <f>MIN($F38,$K38,$P38)</f>
        <v>0</v>
      </c>
      <c r="U38" s="1">
        <f>MEDIAN($B38,$G38,$L38)</f>
        <v>0</v>
      </c>
      <c r="V38" s="1">
        <f>MEDIAN($C38,$H38,$M38)</f>
        <v>0</v>
      </c>
      <c r="W38" s="1">
        <f>MEDIAN($E38,$J38,$O38)</f>
        <v>0</v>
      </c>
      <c r="X38" s="1">
        <f>MEDIAN($F38,$K38,$P38)</f>
        <v>0</v>
      </c>
      <c r="Y38" s="1">
        <f>MAX($B38,$G38,$L38)</f>
        <v>0</v>
      </c>
      <c r="Z38" s="1">
        <f>MAX($C38,$H38,$M38)</f>
        <v>0</v>
      </c>
      <c r="AA38" s="1">
        <f>MAX($E38,$J38,$O38)</f>
        <v>0</v>
      </c>
      <c r="AB38" s="1">
        <f>MAX($F38,$K38,$P38)</f>
        <v>0</v>
      </c>
    </row>
    <row r="39" spans="1:2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" t="s">
        <v>36</v>
      </c>
      <c r="B40" s="1">
        <f>SUM(B$3:B$38)</f>
        <v>0</v>
      </c>
      <c r="C40" s="1">
        <f>SUM(C$3:C$38)</f>
        <v>0</v>
      </c>
      <c r="D40" s="1"/>
      <c r="E40" s="1">
        <f>SUM(E$3:E$38)</f>
        <v>0</v>
      </c>
      <c r="F40" s="1">
        <f>SUM(F$3:F$38)</f>
        <v>0</v>
      </c>
      <c r="G40" s="1">
        <f>SUM(G$3:G$38)</f>
        <v>0</v>
      </c>
      <c r="H40" s="1">
        <f>SUM(H$3:H$38)</f>
        <v>0</v>
      </c>
      <c r="I40" s="1"/>
      <c r="J40" s="1">
        <f>SUM(J$3:J$38)</f>
        <v>0</v>
      </c>
      <c r="K40" s="1">
        <f>SUM(K$3:K$38)</f>
        <v>0</v>
      </c>
      <c r="L40" s="1">
        <f>SUM(L$3:L$38)</f>
        <v>0</v>
      </c>
      <c r="M40" s="1">
        <f>SUM(M$3:M$38)</f>
        <v>0</v>
      </c>
      <c r="N40" s="1"/>
      <c r="O40" s="1">
        <f>SUM(O$3:O$38)</f>
        <v>0</v>
      </c>
      <c r="P40" s="1">
        <f>SUM(P$3:P$38)</f>
        <v>0</v>
      </c>
      <c r="Q40" s="1">
        <f>SUM(Q$3:Q$38)</f>
        <v>0</v>
      </c>
      <c r="R40" s="1">
        <f>SUM(R$3:R$38)</f>
        <v>0</v>
      </c>
      <c r="S40" s="1">
        <f>SUM(S$3:S$38)</f>
        <v>0</v>
      </c>
      <c r="T40" s="1">
        <f>SUM(T$3:T$38)</f>
        <v>0</v>
      </c>
      <c r="U40" s="1">
        <f>SUM(U$3:U$38)</f>
        <v>0</v>
      </c>
      <c r="V40" s="1">
        <f>SUM(V$3:V$38)</f>
        <v>0</v>
      </c>
      <c r="W40" s="1">
        <f>SUM(W$3:W$38)</f>
        <v>0</v>
      </c>
      <c r="X40" s="1">
        <f>SUM(X$3:X$38)</f>
        <v>0</v>
      </c>
      <c r="Y40" s="1">
        <f>SUM(Y$3:Y$38)</f>
        <v>0</v>
      </c>
      <c r="Z40" s="1">
        <f>SUM(Z$3:Z$38)</f>
        <v>0</v>
      </c>
      <c r="AA40" s="1">
        <f>SUM(AA$3:AA$38)</f>
        <v>0</v>
      </c>
      <c r="AB40" s="1">
        <f>SUM(AB$3:AB$38)</f>
        <v>0</v>
      </c>
    </row>
    <row r="41" spans="1:28">
      <c r="A41" s="1" t="s">
        <v>37</v>
      </c>
      <c r="B41" s="1">
        <f>AVERAGE(B$3:B$38)</f>
        <v>0</v>
      </c>
      <c r="C41" s="1">
        <f>AVERAGE(C$3:C$38)</f>
        <v>0</v>
      </c>
      <c r="D41" s="1"/>
      <c r="E41" s="1">
        <f>AVERAGE(E$3:E$38)</f>
        <v>0</v>
      </c>
      <c r="F41" s="1">
        <f>AVERAGE(F$3:F$38)</f>
        <v>0</v>
      </c>
      <c r="G41" s="1">
        <f>AVERAGE(G$3:G$38)</f>
        <v>0</v>
      </c>
      <c r="H41" s="1">
        <f>AVERAGE(H$3:H$38)</f>
        <v>0</v>
      </c>
      <c r="I41" s="1"/>
      <c r="J41" s="1">
        <f>AVERAGE(J$3:J$38)</f>
        <v>0</v>
      </c>
      <c r="K41" s="1">
        <f>AVERAGE(K$3:K$38)</f>
        <v>0</v>
      </c>
      <c r="L41" s="1">
        <f>AVERAGE(L$3:L$38)</f>
        <v>0</v>
      </c>
      <c r="M41" s="1">
        <f>AVERAGE(M$3:M$38)</f>
        <v>0</v>
      </c>
      <c r="N41" s="1"/>
      <c r="O41" s="1">
        <f>AVERAGE(O$3:O$38)</f>
        <v>0</v>
      </c>
      <c r="P41" s="1">
        <f>AVERAGE(P$3:P$38)</f>
        <v>0</v>
      </c>
      <c r="Q41" s="1">
        <f>AVERAGE(Q$3:Q$38)</f>
        <v>0</v>
      </c>
      <c r="R41" s="1">
        <f>AVERAGE(R$3:R$38)</f>
        <v>0</v>
      </c>
      <c r="S41" s="1">
        <f>AVERAGE(S$3:S$38)</f>
        <v>0</v>
      </c>
      <c r="T41" s="1">
        <f>AVERAGE(T$3:T$38)</f>
        <v>0</v>
      </c>
      <c r="U41" s="1">
        <f>AVERAGE(U$3:U$38)</f>
        <v>0</v>
      </c>
      <c r="V41" s="1">
        <f>AVERAGE(V$3:V$38)</f>
        <v>0</v>
      </c>
      <c r="W41" s="1">
        <f>AVERAGE(W$3:W$38)</f>
        <v>0</v>
      </c>
      <c r="X41" s="1">
        <f>AVERAGE(X$3:X$38)</f>
        <v>0</v>
      </c>
      <c r="Y41" s="1">
        <f>AVERAGE(Y$3:Y$38)</f>
        <v>0</v>
      </c>
      <c r="Z41" s="1">
        <f>AVERAGE(Z$3:Z$38)</f>
        <v>0</v>
      </c>
      <c r="AA41" s="1">
        <f>AVERAGE(AA$3:AA$38)</f>
        <v>0</v>
      </c>
      <c r="AB41" s="1">
        <f>AVERAGE(AB$3:AB$38)</f>
        <v>0</v>
      </c>
    </row>
    <row r="42" spans="1:28">
      <c r="A42" s="1" t="s">
        <v>38</v>
      </c>
      <c r="B42" s="1">
        <f>STDEV(B$3:B$38)</f>
        <v>0</v>
      </c>
      <c r="C42" s="1">
        <f>STDEV(C$3:C$38)</f>
        <v>0</v>
      </c>
      <c r="D42" s="1"/>
      <c r="E42" s="1">
        <f>STDEV(E$3:E$38)</f>
        <v>0</v>
      </c>
      <c r="F42" s="1">
        <f>STDEV(F$3:F$38)</f>
        <v>0</v>
      </c>
      <c r="G42" s="1">
        <f>STDEV(G$3:G$38)</f>
        <v>0</v>
      </c>
      <c r="H42" s="1">
        <f>STDEV(H$3:H$38)</f>
        <v>0</v>
      </c>
      <c r="I42" s="1"/>
      <c r="J42" s="1">
        <f>STDEV(J$3:J$38)</f>
        <v>0</v>
      </c>
      <c r="K42" s="1">
        <f>STDEV(K$3:K$38)</f>
        <v>0</v>
      </c>
      <c r="L42" s="1">
        <f>STDEV(L$3:L$38)</f>
        <v>0</v>
      </c>
      <c r="M42" s="1">
        <f>STDEV(M$3:M$38)</f>
        <v>0</v>
      </c>
      <c r="N42" s="1"/>
      <c r="O42" s="1">
        <f>STDEV(O$3:O$38)</f>
        <v>0</v>
      </c>
      <c r="P42" s="1">
        <f>STDEV(P$3:P$38)</f>
        <v>0</v>
      </c>
      <c r="Q42" s="1">
        <f>STDEV(Q$3:Q$38)</f>
        <v>0</v>
      </c>
      <c r="R42" s="1">
        <f>STDEV(R$3:R$38)</f>
        <v>0</v>
      </c>
      <c r="S42" s="1">
        <f>STDEV(S$3:S$38)</f>
        <v>0</v>
      </c>
      <c r="T42" s="1">
        <f>STDEV(T$3:T$38)</f>
        <v>0</v>
      </c>
      <c r="U42" s="1">
        <f>STDEV(U$3:U$38)</f>
        <v>0</v>
      </c>
      <c r="V42" s="1">
        <f>STDEV(V$3:V$38)</f>
        <v>0</v>
      </c>
      <c r="W42" s="1">
        <f>STDEV(W$3:W$38)</f>
        <v>0</v>
      </c>
      <c r="X42" s="1">
        <f>STDEV(X$3:X$38)</f>
        <v>0</v>
      </c>
      <c r="Y42" s="1">
        <f>STDEV(Y$3:Y$38)</f>
        <v>0</v>
      </c>
      <c r="Z42" s="1">
        <f>STDEV(Z$3:Z$38)</f>
        <v>0</v>
      </c>
      <c r="AA42" s="1">
        <f>STDEV(AA$3:AA$38)</f>
        <v>0</v>
      </c>
      <c r="AB42" s="1">
        <f>STDEV(AB$3:AB$38)</f>
        <v>0</v>
      </c>
    </row>
    <row r="43" spans="1:28">
      <c r="A43" s="1" t="s">
        <v>39</v>
      </c>
      <c r="B43" s="1">
        <f>SUMPRODUCT(--(B$3:B$38-$Q$3:$Q$38)^2)^0.5</f>
        <v>0</v>
      </c>
      <c r="C43" s="1">
        <f>SUMPRODUCT(--(C$3:C$38-$R$3:$R$38)^2)^0.5</f>
        <v>0</v>
      </c>
      <c r="D43" s="1"/>
      <c r="E43" s="1">
        <f>SUMPRODUCT(--(E$3:E$38-$S$3:$S$38)^2)^0.5</f>
        <v>0</v>
      </c>
      <c r="F43" s="1">
        <f>SUMPRODUCT(--(F$3:F$38-$T$3:$T$38)^2)^0.5</f>
        <v>0</v>
      </c>
      <c r="G43" s="1">
        <f>SUMPRODUCT(--(G$3:G$38-$Q$3:$Q$38)^2)^0.5</f>
        <v>0</v>
      </c>
      <c r="H43" s="1">
        <f>SUMPRODUCT(--(H$3:H$38-$R$3:$R$38)^2)^0.5</f>
        <v>0</v>
      </c>
      <c r="I43" s="1"/>
      <c r="J43" s="1">
        <f>SUMPRODUCT(--(J$3:J$38-$S$3:$S$38)^2)^0.5</f>
        <v>0</v>
      </c>
      <c r="K43" s="1">
        <f>SUMPRODUCT(--(K$3:K$38-$T$3:$T$38)^2)^0.5</f>
        <v>0</v>
      </c>
      <c r="L43" s="1">
        <f>SUMPRODUCT(--(L$3:L$38-$Q$3:$Q$38)^2)^0.5</f>
        <v>0</v>
      </c>
      <c r="M43" s="1">
        <f>SUMPRODUCT(--(M$3:M$38-$R$3:$R$38)^2)^0.5</f>
        <v>0</v>
      </c>
      <c r="N43" s="1"/>
      <c r="O43" s="1">
        <f>SUMPRODUCT(--(O$3:O$38-$S$3:$S$38)^2)^0.5</f>
        <v>0</v>
      </c>
      <c r="P43" s="1">
        <f>SUMPRODUCT(--(P$3:P$38-$T$3:$T$38)^2)^0.5</f>
        <v>0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" t="s">
        <v>40</v>
      </c>
      <c r="B44" s="1">
        <f>SUMPRODUCT(NOT(ISBLANK(B$3:B$38))*(B$3:B$38=$Q$3:$Q$38))</f>
        <v>0</v>
      </c>
      <c r="C44" s="1">
        <f>SUMPRODUCT(NOT(ISBLANK(C$3:C$38))*(C$3:C$38=$R$3:$R$38))</f>
        <v>0</v>
      </c>
      <c r="D44" s="1"/>
      <c r="E44" s="1">
        <f>SUMPRODUCT(NOT(ISBLANK(E$3:E$38))*(E$3:E$38=$S$3:$S$38))</f>
        <v>0</v>
      </c>
      <c r="F44" s="1">
        <f>SUMPRODUCT(NOT(ISBLANK(F$3:F$38))*(F$3:F$38=$T$3:$T$38))</f>
        <v>0</v>
      </c>
      <c r="G44" s="1">
        <f>SUMPRODUCT(NOT(ISBLANK(G$3:G$38))*(G$3:G$38=$Q$3:$Q$38))</f>
        <v>0</v>
      </c>
      <c r="H44" s="1">
        <f>SUMPRODUCT(NOT(ISBLANK(H$3:H$38))*(H$3:H$38=$R$3:$R$38))</f>
        <v>0</v>
      </c>
      <c r="I44" s="1"/>
      <c r="J44" s="1">
        <f>SUMPRODUCT(NOT(ISBLANK(J$3:J$38))*(J$3:J$38=$S$3:$S$38))</f>
        <v>0</v>
      </c>
      <c r="K44" s="1">
        <f>SUMPRODUCT(NOT(ISBLANK(K$3:K$38))*(K$3:K$38=$T$3:$T$38))</f>
        <v>0</v>
      </c>
      <c r="L44" s="1">
        <f>SUMPRODUCT(NOT(ISBLANK(L$3:L$38))*(L$3:L$38=$Q$3:$Q$38))</f>
        <v>0</v>
      </c>
      <c r="M44" s="1">
        <f>SUMPRODUCT(NOT(ISBLANK(M$3:M$38))*(M$3:M$38=$R$3:$R$38))</f>
        <v>0</v>
      </c>
      <c r="N44" s="1"/>
      <c r="O44" s="1">
        <f>SUMPRODUCT(NOT(ISBLANK(O$3:O$38))*(O$3:O$38=$S$3:$S$38))</f>
        <v>0</v>
      </c>
      <c r="P44" s="1">
        <f>SUMPRODUCT(NOT(ISBLANK(P$3:P$38))*(P$3:P$38=$T$3:$T$38))</f>
        <v>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" t="s">
        <v>41</v>
      </c>
      <c r="B45" s="1">
        <f>SUMPRODUCT(NOT(ISBLANK(B$3:B$38))*(B$3:B$38&lt;$U$3:$U$38))</f>
        <v>0</v>
      </c>
      <c r="C45" s="1">
        <f>SUMPRODUCT(NOT(ISBLANK(C$3:C$38))*(C$3:C$38&lt;$V$3:$V$38))</f>
        <v>0</v>
      </c>
      <c r="D45" s="1"/>
      <c r="E45" s="1">
        <f>SUMPRODUCT(NOT(ISBLANK(E$3:E$38))*(E$3:E$38&lt;$W$3:$W$38))</f>
        <v>0</v>
      </c>
      <c r="F45" s="1">
        <f>SUMPRODUCT(NOT(ISBLANK(F$3:F$38))*(F$3:F$38&lt;$X$3:$X$38))</f>
        <v>0</v>
      </c>
      <c r="G45" s="1">
        <f>SUMPRODUCT(NOT(ISBLANK(G$3:G$38))*(G$3:G$38&lt;$U$3:$U$38))</f>
        <v>0</v>
      </c>
      <c r="H45" s="1">
        <f>SUMPRODUCT(NOT(ISBLANK(H$3:H$38))*(H$3:H$38&lt;$V$3:$V$38))</f>
        <v>0</v>
      </c>
      <c r="I45" s="1"/>
      <c r="J45" s="1">
        <f>SUMPRODUCT(NOT(ISBLANK(J$3:J$38))*(J$3:J$38&lt;$W$3:$W$38))</f>
        <v>0</v>
      </c>
      <c r="K45" s="1">
        <f>SUMPRODUCT(NOT(ISBLANK(K$3:K$38))*(K$3:K$38&lt;$X$3:$X$38))</f>
        <v>0</v>
      </c>
      <c r="L45" s="1">
        <f>SUMPRODUCT(NOT(ISBLANK(L$3:L$38))*(L$3:L$38&lt;$U$3:$U$38))</f>
        <v>0</v>
      </c>
      <c r="M45" s="1">
        <f>SUMPRODUCT(NOT(ISBLANK(M$3:M$38))*(M$3:M$38&lt;$V$3:$V$38))</f>
        <v>0</v>
      </c>
      <c r="N45" s="1"/>
      <c r="O45" s="1">
        <f>SUMPRODUCT(NOT(ISBLANK(O$3:O$38))*(O$3:O$38&lt;$W$3:$W$38))</f>
        <v>0</v>
      </c>
      <c r="P45" s="1">
        <f>SUMPRODUCT(NOT(ISBLANK(P$3:P$38))*(P$3:P$38&lt;$X$3:$X$38))</f>
        <v>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" t="s">
        <v>42</v>
      </c>
      <c r="B46" s="1">
        <f>SUMPRODUCT((NOT(ISBLANK(B$3:B$38))*(B$3:B$38&gt;$U$3:$U$38))+ISBLANK(B$3:B$38))</f>
        <v>0</v>
      </c>
      <c r="C46" s="1">
        <f>SUMPRODUCT((NOT(ISBLANK(C$3:C$38))*(C$3:C$38&gt;$V$3:$V$38))+ISBLANK(C$3:C$38))</f>
        <v>0</v>
      </c>
      <c r="D46" s="1"/>
      <c r="E46" s="1">
        <f>SUMPRODUCT((NOT(ISBLANK(E$3:E$38))*(E$3:E$38&gt;$W$3:$W$38))+ISBLANK(E$3:E$38))</f>
        <v>0</v>
      </c>
      <c r="F46" s="1">
        <f>SUMPRODUCT((NOT(ISBLANK(F$3:F$38))*(F$3:F$38&gt;$X$3:$X$38))+ISBLANK(F$3:F$38))</f>
        <v>0</v>
      </c>
      <c r="G46" s="1">
        <f>SUMPRODUCT((NOT(ISBLANK(G$3:G$38))*(G$3:G$38&gt;$U$3:$U$38))+ISBLANK(G$3:G$38))</f>
        <v>0</v>
      </c>
      <c r="H46" s="1">
        <f>SUMPRODUCT((NOT(ISBLANK(H$3:H$38))*(H$3:H$38&gt;$V$3:$V$38))+ISBLANK(H$3:H$38))</f>
        <v>0</v>
      </c>
      <c r="I46" s="1"/>
      <c r="J46" s="1">
        <f>SUMPRODUCT((NOT(ISBLANK(J$3:J$38))*(J$3:J$38&gt;$W$3:$W$38))+ISBLANK(J$3:J$38))</f>
        <v>0</v>
      </c>
      <c r="K46" s="1">
        <f>SUMPRODUCT((NOT(ISBLANK(K$3:K$38))*(K$3:K$38&gt;$X$3:$X$38))+ISBLANK(K$3:K$38))</f>
        <v>0</v>
      </c>
      <c r="L46" s="1">
        <f>SUMPRODUCT((NOT(ISBLANK(L$3:L$38))*(L$3:L$38&gt;$U$3:$U$38))+ISBLANK(L$3:L$38))</f>
        <v>0</v>
      </c>
      <c r="M46" s="1">
        <f>SUMPRODUCT((NOT(ISBLANK(M$3:M$38))*(M$3:M$38&gt;$V$3:$V$38))+ISBLANK(M$3:M$38))</f>
        <v>0</v>
      </c>
      <c r="N46" s="1"/>
      <c r="O46" s="1">
        <f>SUMPRODUCT((NOT(ISBLANK(O$3:O$38))*(O$3:O$38&gt;$W$3:$W$38))+ISBLANK(O$3:O$38))</f>
        <v>0</v>
      </c>
      <c r="P46" s="1">
        <f>SUMPRODUCT((NOT(ISBLANK(P$3:P$38))*(P$3:P$38&gt;$X$3:$X$38))+ISBLANK(P$3:P$38))</f>
        <v>0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" t="s">
        <v>43</v>
      </c>
      <c r="B47" s="1">
        <f>SUMPRODUCT((NOT(ISBLANK(B$3:B$38))*(B$3:B$38=$Y$3:$Y$38))+ISBLANK(B$3:B$38))</f>
        <v>0</v>
      </c>
      <c r="C47" s="1">
        <f>SUMPRODUCT((NOT(ISBLANK(C$3:C$38))*(C$3:C$38=$Z$3:$Z$38))+ISBLANK(C$3:C$38))</f>
        <v>0</v>
      </c>
      <c r="D47" s="1"/>
      <c r="E47" s="1">
        <f>SUMPRODUCT((NOT(ISBLANK(E$3:E$38))*(E$3:E$38=$AA$3:$AA$38))+ISBLANK(E$3:E$38))</f>
        <v>0</v>
      </c>
      <c r="F47" s="1">
        <f>SUMPRODUCT((NOT(ISBLANK(F$3:F$38))*(F$3:F$38=$AB$3:$AB$38))+ISBLANK(F$3:F$38))</f>
        <v>0</v>
      </c>
      <c r="G47" s="1">
        <f>SUMPRODUCT((NOT(ISBLANK(G$3:G$38))*(G$3:G$38=$Y$3:$Y$38))+ISBLANK(G$3:G$38))</f>
        <v>0</v>
      </c>
      <c r="H47" s="1">
        <f>SUMPRODUCT((NOT(ISBLANK(H$3:H$38))*(H$3:H$38=$Z$3:$Z$38))+ISBLANK(H$3:H$38))</f>
        <v>0</v>
      </c>
      <c r="I47" s="1"/>
      <c r="J47" s="1">
        <f>SUMPRODUCT((NOT(ISBLANK(J$3:J$38))*(J$3:J$38=$AA$3:$AA$38))+ISBLANK(J$3:J$38))</f>
        <v>0</v>
      </c>
      <c r="K47" s="1">
        <f>SUMPRODUCT((NOT(ISBLANK(K$3:K$38))*(K$3:K$38=$AB$3:$AB$38))+ISBLANK(K$3:K$38))</f>
        <v>0</v>
      </c>
      <c r="L47" s="1">
        <f>SUMPRODUCT((NOT(ISBLANK(L$3:L$38))*(L$3:L$38=$Y$3:$Y$38))+ISBLANK(L$3:L$38))</f>
        <v>0</v>
      </c>
      <c r="M47" s="1">
        <f>SUMPRODUCT((NOT(ISBLANK(M$3:M$38))*(M$3:M$38=$Z$3:$Z$38))+ISBLANK(M$3:M$38))</f>
        <v>0</v>
      </c>
      <c r="N47" s="1"/>
      <c r="O47" s="1">
        <f>SUMPRODUCT((NOT(ISBLANK(O$3:O$38))*(O$3:O$38=$AA$3:$AA$38))+ISBLANK(O$3:O$38))</f>
        <v>0</v>
      </c>
      <c r="P47" s="1">
        <f>SUMPRODUCT((NOT(ISBLANK(P$3:P$38))*(P$3:P$38=$AB$3:$AB$38))+ISBLANK(P$3:P$38))</f>
        <v>0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8" width="11.42578125" customWidth="1"/>
  </cols>
  <sheetData>
    <row r="1" spans="1:28">
      <c r="A1" s="1"/>
      <c r="B1" s="1" t="s">
        <v>44</v>
      </c>
      <c r="C1" s="1"/>
      <c r="D1" s="1"/>
      <c r="E1" s="1"/>
      <c r="F1" s="1"/>
      <c r="G1" s="1" t="s">
        <v>52</v>
      </c>
      <c r="H1" s="1"/>
      <c r="I1" s="1"/>
      <c r="J1" s="1"/>
      <c r="K1" s="1"/>
      <c r="L1" s="1" t="s">
        <v>53</v>
      </c>
      <c r="M1" s="1"/>
      <c r="N1" s="1"/>
      <c r="O1" s="1"/>
      <c r="P1" s="1"/>
      <c r="Q1" s="1" t="s">
        <v>54</v>
      </c>
      <c r="R1" s="1"/>
      <c r="S1" s="1"/>
      <c r="T1" s="1"/>
      <c r="U1" s="1" t="s">
        <v>55</v>
      </c>
      <c r="V1" s="1"/>
      <c r="W1" s="1"/>
      <c r="X1" s="1"/>
      <c r="Y1" s="1" t="s">
        <v>56</v>
      </c>
      <c r="Z1" s="1"/>
      <c r="AA1" s="1"/>
      <c r="AB1" s="1"/>
    </row>
    <row r="2" spans="1:28">
      <c r="A2" s="1"/>
      <c r="B2" s="1" t="s">
        <v>45</v>
      </c>
      <c r="C2" s="1" t="s">
        <v>46</v>
      </c>
      <c r="D2" s="1" t="s">
        <v>47</v>
      </c>
      <c r="E2" s="1" t="s">
        <v>50</v>
      </c>
      <c r="F2" s="1" t="s">
        <v>51</v>
      </c>
      <c r="G2" s="1" t="s">
        <v>45</v>
      </c>
      <c r="H2" s="1" t="s">
        <v>46</v>
      </c>
      <c r="I2" s="1" t="s">
        <v>47</v>
      </c>
      <c r="J2" s="1" t="s">
        <v>50</v>
      </c>
      <c r="K2" s="1" t="s">
        <v>51</v>
      </c>
      <c r="L2" s="1" t="s">
        <v>45</v>
      </c>
      <c r="M2" s="1" t="s">
        <v>46</v>
      </c>
      <c r="N2" s="1" t="s">
        <v>47</v>
      </c>
      <c r="O2" s="1" t="s">
        <v>50</v>
      </c>
      <c r="P2" s="1" t="s">
        <v>51</v>
      </c>
      <c r="Q2" s="1" t="s">
        <v>45</v>
      </c>
      <c r="R2" s="1" t="s">
        <v>46</v>
      </c>
      <c r="S2" s="1" t="s">
        <v>50</v>
      </c>
      <c r="T2" s="1" t="s">
        <v>51</v>
      </c>
      <c r="U2" s="1" t="s">
        <v>45</v>
      </c>
      <c r="V2" s="1" t="s">
        <v>46</v>
      </c>
      <c r="W2" s="1" t="s">
        <v>50</v>
      </c>
      <c r="X2" s="1" t="s">
        <v>51</v>
      </c>
      <c r="Y2" s="1" t="s">
        <v>45</v>
      </c>
      <c r="Z2" s="1" t="s">
        <v>46</v>
      </c>
      <c r="AA2" s="1" t="s">
        <v>50</v>
      </c>
      <c r="AB2" s="1" t="s">
        <v>51</v>
      </c>
    </row>
    <row r="3" spans="1:28">
      <c r="A3" s="1" t="s">
        <v>58</v>
      </c>
      <c r="B3" s="1">
        <f>AVERAGE(Instances!B3:Instances!B38)</f>
        <v>0</v>
      </c>
      <c r="C3" s="1">
        <f>AVERAGE(Instances!C3:Instances!C38)</f>
        <v>0</v>
      </c>
      <c r="D3" s="1"/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/>
      <c r="J3" s="1">
        <f>AVERAGE(Instances!J3:Instances!J38)</f>
        <v>0</v>
      </c>
      <c r="K3" s="1">
        <f>AVERAGE(Instances!K3:Instances!K38)</f>
        <v>0</v>
      </c>
      <c r="L3" s="1">
        <f>AVERAGE(Instances!L3:Instances!L38)</f>
        <v>0</v>
      </c>
      <c r="M3" s="1">
        <f>AVERAGE(Instances!M3:Instances!M38)</f>
        <v>0</v>
      </c>
      <c r="N3" s="1"/>
      <c r="O3" s="1">
        <f>AVERAGE(Instances!O3:Instances!O38)</f>
        <v>0</v>
      </c>
      <c r="P3" s="1">
        <f>AVERAGE(Instances!P3:Instances!P38)</f>
        <v>0</v>
      </c>
      <c r="Q3" s="1">
        <f>MIN($B3,$G3,$L3)</f>
        <v>0</v>
      </c>
      <c r="R3" s="1">
        <f>MIN($C3,$H3,$M3)</f>
        <v>0</v>
      </c>
      <c r="S3" s="1">
        <f>MIN($E3,$J3,$O3)</f>
        <v>0</v>
      </c>
      <c r="T3" s="1">
        <f>MIN($F3,$K3,$P3)</f>
        <v>0</v>
      </c>
      <c r="U3" s="1">
        <f>MEDIAN($B3,$G3,$L3)</f>
        <v>0</v>
      </c>
      <c r="V3" s="1">
        <f>MEDIAN($C3,$H3,$M3)</f>
        <v>0</v>
      </c>
      <c r="W3" s="1">
        <f>MEDIAN($E3,$J3,$O3)</f>
        <v>0</v>
      </c>
      <c r="X3" s="1">
        <f>MEDIAN($F3,$K3,$P3)</f>
        <v>0</v>
      </c>
      <c r="Y3" s="1">
        <f>MAX($B3,$G3,$L3)</f>
        <v>0</v>
      </c>
      <c r="Z3" s="1">
        <f>MAX($C3,$H3,$M3)</f>
        <v>0</v>
      </c>
      <c r="AA3" s="1">
        <f>MAX($E3,$J3,$O3)</f>
        <v>0</v>
      </c>
      <c r="AB3" s="1">
        <f>MAX($F3,$K3,$P3)</f>
        <v>0</v>
      </c>
    </row>
    <row r="4" spans="1:2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1" t="s">
        <v>36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/>
      <c r="J5" s="1">
        <f>SUM(J$3:J$3)</f>
        <v>0</v>
      </c>
      <c r="K5" s="1">
        <f>SUM(K$3:K$3)</f>
        <v>0</v>
      </c>
      <c r="L5" s="1">
        <f>SUM(L$3:L$3)</f>
        <v>0</v>
      </c>
      <c r="M5" s="1">
        <f>SUM(M$3:M$3)</f>
        <v>0</v>
      </c>
      <c r="N5" s="1"/>
      <c r="O5" s="1">
        <f>SUM(O$3:O$3)</f>
        <v>0</v>
      </c>
      <c r="P5" s="1">
        <f>SUM(P$3:P$3)</f>
        <v>0</v>
      </c>
      <c r="Q5" s="1">
        <f>SUM(Q$3:Q$3)</f>
        <v>0</v>
      </c>
      <c r="R5" s="1">
        <f>SUM(R$3:R$3)</f>
        <v>0</v>
      </c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</row>
    <row r="6" spans="1:28">
      <c r="A6" s="1" t="s">
        <v>37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/>
      <c r="J6" s="1">
        <f>AVERAGE(J$3:J$3)</f>
        <v>0</v>
      </c>
      <c r="K6" s="1">
        <f>AVERAGE(K$3:K$3)</f>
        <v>0</v>
      </c>
      <c r="L6" s="1">
        <f>AVERAGE(L$3:L$3)</f>
        <v>0</v>
      </c>
      <c r="M6" s="1">
        <f>AVERAGE(M$3:M$3)</f>
        <v>0</v>
      </c>
      <c r="N6" s="1"/>
      <c r="O6" s="1">
        <f>AVERAGE(O$3:O$3)</f>
        <v>0</v>
      </c>
      <c r="P6" s="1">
        <f>AVERAGE(P$3:P$3)</f>
        <v>0</v>
      </c>
      <c r="Q6" s="1">
        <f>AVERAGE(Q$3:Q$3)</f>
        <v>0</v>
      </c>
      <c r="R6" s="1">
        <f>AVERAGE(R$3:R$3)</f>
        <v>0</v>
      </c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</row>
    <row r="7" spans="1:28">
      <c r="A7" s="1" t="s">
        <v>38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/>
      <c r="J7" s="1">
        <f>STDEV(J$3:J$3)</f>
        <v>0</v>
      </c>
      <c r="K7" s="1">
        <f>STDEV(K$3:K$3)</f>
        <v>0</v>
      </c>
      <c r="L7" s="1">
        <f>STDEV(L$3:L$3)</f>
        <v>0</v>
      </c>
      <c r="M7" s="1">
        <f>STDEV(M$3:M$3)</f>
        <v>0</v>
      </c>
      <c r="N7" s="1"/>
      <c r="O7" s="1">
        <f>STDEV(O$3:O$3)</f>
        <v>0</v>
      </c>
      <c r="P7" s="1">
        <f>STDEV(P$3:P$3)</f>
        <v>0</v>
      </c>
      <c r="Q7" s="1">
        <f>STDEV(Q$3:Q$3)</f>
        <v>0</v>
      </c>
      <c r="R7" s="1">
        <f>STDEV(R$3:R$3)</f>
        <v>0</v>
      </c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</row>
    <row r="8" spans="1:28">
      <c r="A8" s="1" t="s">
        <v>39</v>
      </c>
      <c r="B8" s="1">
        <f>SUMPRODUCT(--(B$3:B$3-$Q$3:$Q$3)^2)^0.5</f>
        <v>0</v>
      </c>
      <c r="C8" s="1">
        <f>SUMPRODUCT(--(C$3:C$3-$R$3:$R$3)^2)^0.5</f>
        <v>0</v>
      </c>
      <c r="D8" s="1"/>
      <c r="E8" s="1">
        <f>SUMPRODUCT(--(E$3:E$3-$S$3:$S$3)^2)^0.5</f>
        <v>0</v>
      </c>
      <c r="F8" s="1">
        <f>SUMPRODUCT(--(F$3:F$3-$T$3:$T$3)^2)^0.5</f>
        <v>0</v>
      </c>
      <c r="G8" s="1">
        <f>SUMPRODUCT(--(G$3:G$3-$Q$3:$Q$3)^2)^0.5</f>
        <v>0</v>
      </c>
      <c r="H8" s="1">
        <f>SUMPRODUCT(--(H$3:H$3-$R$3:$R$3)^2)^0.5</f>
        <v>0</v>
      </c>
      <c r="I8" s="1"/>
      <c r="J8" s="1">
        <f>SUMPRODUCT(--(J$3:J$3-$S$3:$S$3)^2)^0.5</f>
        <v>0</v>
      </c>
      <c r="K8" s="1">
        <f>SUMPRODUCT(--(K$3:K$3-$T$3:$T$3)^2)^0.5</f>
        <v>0</v>
      </c>
      <c r="L8" s="1">
        <f>SUMPRODUCT(--(L$3:L$3-$Q$3:$Q$3)^2)^0.5</f>
        <v>0</v>
      </c>
      <c r="M8" s="1">
        <f>SUMPRODUCT(--(M$3:M$3-$R$3:$R$3)^2)^0.5</f>
        <v>0</v>
      </c>
      <c r="N8" s="1"/>
      <c r="O8" s="1">
        <f>SUMPRODUCT(--(O$3:O$3-$S$3:$S$3)^2)^0.5</f>
        <v>0</v>
      </c>
      <c r="P8" s="1">
        <f>SUMPRODUCT(--(P$3:P$3-$T$3:$T$3)^2)^0.5</f>
        <v>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>
      <c r="A9" s="1" t="s">
        <v>40</v>
      </c>
      <c r="B9" s="1">
        <f>SUMPRODUCT(NOT(ISBLANK(B$3:B$3))*(B$3:B$3=$Q$3:$Q$3))</f>
        <v>0</v>
      </c>
      <c r="C9" s="1">
        <f>SUMPRODUCT(NOT(ISBLANK(C$3:C$3))*(C$3:C$3=$R$3:$R$3))</f>
        <v>0</v>
      </c>
      <c r="D9" s="1"/>
      <c r="E9" s="1">
        <f>SUMPRODUCT(NOT(ISBLANK(E$3:E$3))*(E$3:E$3=$S$3:$S$3))</f>
        <v>0</v>
      </c>
      <c r="F9" s="1">
        <f>SUMPRODUCT(NOT(ISBLANK(F$3:F$3))*(F$3:F$3=$T$3:$T$3))</f>
        <v>0</v>
      </c>
      <c r="G9" s="1">
        <f>SUMPRODUCT(NOT(ISBLANK(G$3:G$3))*(G$3:G$3=$Q$3:$Q$3))</f>
        <v>0</v>
      </c>
      <c r="H9" s="1">
        <f>SUMPRODUCT(NOT(ISBLANK(H$3:H$3))*(H$3:H$3=$R$3:$R$3))</f>
        <v>0</v>
      </c>
      <c r="I9" s="1"/>
      <c r="J9" s="1">
        <f>SUMPRODUCT(NOT(ISBLANK(J$3:J$3))*(J$3:J$3=$S$3:$S$3))</f>
        <v>0</v>
      </c>
      <c r="K9" s="1">
        <f>SUMPRODUCT(NOT(ISBLANK(K$3:K$3))*(K$3:K$3=$T$3:$T$3))</f>
        <v>0</v>
      </c>
      <c r="L9" s="1">
        <f>SUMPRODUCT(NOT(ISBLANK(L$3:L$3))*(L$3:L$3=$Q$3:$Q$3))</f>
        <v>0</v>
      </c>
      <c r="M9" s="1">
        <f>SUMPRODUCT(NOT(ISBLANK(M$3:M$3))*(M$3:M$3=$R$3:$R$3))</f>
        <v>0</v>
      </c>
      <c r="N9" s="1"/>
      <c r="O9" s="1">
        <f>SUMPRODUCT(NOT(ISBLANK(O$3:O$3))*(O$3:O$3=$S$3:$S$3))</f>
        <v>0</v>
      </c>
      <c r="P9" s="1">
        <f>SUMPRODUCT(NOT(ISBLANK(P$3:P$3))*(P$3:P$3=$T$3:$T$3))</f>
        <v>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>
      <c r="A10" s="1" t="s">
        <v>41</v>
      </c>
      <c r="B10" s="1">
        <f>SUMPRODUCT(NOT(ISBLANK(B$3:B$3))*(B$3:B$3&lt;$U$3:$U$3))</f>
        <v>0</v>
      </c>
      <c r="C10" s="1">
        <f>SUMPRODUCT(NOT(ISBLANK(C$3:C$3))*(C$3:C$3&lt;$V$3:$V$3))</f>
        <v>0</v>
      </c>
      <c r="D10" s="1"/>
      <c r="E10" s="1">
        <f>SUMPRODUCT(NOT(ISBLANK(E$3:E$3))*(E$3:E$3&lt;$W$3:$W$3))</f>
        <v>0</v>
      </c>
      <c r="F10" s="1">
        <f>SUMPRODUCT(NOT(ISBLANK(F$3:F$3))*(F$3:F$3&lt;$X$3:$X$3))</f>
        <v>0</v>
      </c>
      <c r="G10" s="1">
        <f>SUMPRODUCT(NOT(ISBLANK(G$3:G$3))*(G$3:G$3&lt;$U$3:$U$3))</f>
        <v>0</v>
      </c>
      <c r="H10" s="1">
        <f>SUMPRODUCT(NOT(ISBLANK(H$3:H$3))*(H$3:H$3&lt;$V$3:$V$3))</f>
        <v>0</v>
      </c>
      <c r="I10" s="1"/>
      <c r="J10" s="1">
        <f>SUMPRODUCT(NOT(ISBLANK(J$3:J$3))*(J$3:J$3&lt;$W$3:$W$3))</f>
        <v>0</v>
      </c>
      <c r="K10" s="1">
        <f>SUMPRODUCT(NOT(ISBLANK(K$3:K$3))*(K$3:K$3&lt;$X$3:$X$3))</f>
        <v>0</v>
      </c>
      <c r="L10" s="1">
        <f>SUMPRODUCT(NOT(ISBLANK(L$3:L$3))*(L$3:L$3&lt;$U$3:$U$3))</f>
        <v>0</v>
      </c>
      <c r="M10" s="1">
        <f>SUMPRODUCT(NOT(ISBLANK(M$3:M$3))*(M$3:M$3&lt;$V$3:$V$3))</f>
        <v>0</v>
      </c>
      <c r="N10" s="1"/>
      <c r="O10" s="1">
        <f>SUMPRODUCT(NOT(ISBLANK(O$3:O$3))*(O$3:O$3&lt;$W$3:$W$3))</f>
        <v>0</v>
      </c>
      <c r="P10" s="1">
        <f>SUMPRODUCT(NOT(ISBLANK(P$3:P$3))*(P$3:P$3&lt;$X$3:$X$3))</f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>
      <c r="A11" s="1" t="s">
        <v>42</v>
      </c>
      <c r="B11" s="1">
        <f>SUMPRODUCT((NOT(ISBLANK(B$3:B$3))*(B$3:B$3&gt;$U$3:$U$3))+ISBLANK(B$3:B$3))</f>
        <v>0</v>
      </c>
      <c r="C11" s="1">
        <f>SUMPRODUCT((NOT(ISBLANK(C$3:C$3))*(C$3:C$3&gt;$V$3:$V$3))+ISBLANK(C$3:C$3))</f>
        <v>0</v>
      </c>
      <c r="D11" s="1"/>
      <c r="E11" s="1">
        <f>SUMPRODUCT((NOT(ISBLANK(E$3:E$3))*(E$3:E$3&gt;$W$3:$W$3))+ISBLANK(E$3:E$3))</f>
        <v>0</v>
      </c>
      <c r="F11" s="1">
        <f>SUMPRODUCT((NOT(ISBLANK(F$3:F$3))*(F$3:F$3&gt;$X$3:$X$3))+ISBLANK(F$3:F$3))</f>
        <v>0</v>
      </c>
      <c r="G11" s="1">
        <f>SUMPRODUCT((NOT(ISBLANK(G$3:G$3))*(G$3:G$3&gt;$U$3:$U$3))+ISBLANK(G$3:G$3))</f>
        <v>0</v>
      </c>
      <c r="H11" s="1">
        <f>SUMPRODUCT((NOT(ISBLANK(H$3:H$3))*(H$3:H$3&gt;$V$3:$V$3))+ISBLANK(H$3:H$3))</f>
        <v>0</v>
      </c>
      <c r="I11" s="1"/>
      <c r="J11" s="1">
        <f>SUMPRODUCT((NOT(ISBLANK(J$3:J$3))*(J$3:J$3&gt;$W$3:$W$3))+ISBLANK(J$3:J$3))</f>
        <v>0</v>
      </c>
      <c r="K11" s="1">
        <f>SUMPRODUCT((NOT(ISBLANK(K$3:K$3))*(K$3:K$3&gt;$X$3:$X$3))+ISBLANK(K$3:K$3))</f>
        <v>0</v>
      </c>
      <c r="L11" s="1">
        <f>SUMPRODUCT((NOT(ISBLANK(L$3:L$3))*(L$3:L$3&gt;$U$3:$U$3))+ISBLANK(L$3:L$3))</f>
        <v>0</v>
      </c>
      <c r="M11" s="1">
        <f>SUMPRODUCT((NOT(ISBLANK(M$3:M$3))*(M$3:M$3&gt;$V$3:$V$3))+ISBLANK(M$3:M$3))</f>
        <v>0</v>
      </c>
      <c r="N11" s="1"/>
      <c r="O11" s="1">
        <f>SUMPRODUCT((NOT(ISBLANK(O$3:O$3))*(O$3:O$3&gt;$W$3:$W$3))+ISBLANK(O$3:O$3))</f>
        <v>0</v>
      </c>
      <c r="P11" s="1">
        <f>SUMPRODUCT((NOT(ISBLANK(P$3:P$3))*(P$3:P$3&gt;$X$3:$X$3))+ISBLANK(P$3:P$3))</f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s="1" t="s">
        <v>43</v>
      </c>
      <c r="B12" s="1">
        <f>SUMPRODUCT((NOT(ISBLANK(B$3:B$3))*(B$3:B$3=$Y$3:$Y$3))+ISBLANK(B$3:B$3))</f>
        <v>0</v>
      </c>
      <c r="C12" s="1">
        <f>SUMPRODUCT((NOT(ISBLANK(C$3:C$3))*(C$3:C$3=$Z$3:$Z$3))+ISBLANK(C$3:C$3))</f>
        <v>0</v>
      </c>
      <c r="D12" s="1"/>
      <c r="E12" s="1">
        <f>SUMPRODUCT((NOT(ISBLANK(E$3:E$3))*(E$3:E$3=$AA$3:$AA$3))+ISBLANK(E$3:E$3))</f>
        <v>0</v>
      </c>
      <c r="F12" s="1">
        <f>SUMPRODUCT((NOT(ISBLANK(F$3:F$3))*(F$3:F$3=$AB$3:$AB$3))+ISBLANK(F$3:F$3))</f>
        <v>0</v>
      </c>
      <c r="G12" s="1">
        <f>SUMPRODUCT((NOT(ISBLANK(G$3:G$3))*(G$3:G$3=$Y$3:$Y$3))+ISBLANK(G$3:G$3))</f>
        <v>0</v>
      </c>
      <c r="H12" s="1">
        <f>SUMPRODUCT((NOT(ISBLANK(H$3:H$3))*(H$3:H$3=$Z$3:$Z$3))+ISBLANK(H$3:H$3))</f>
        <v>0</v>
      </c>
      <c r="I12" s="1"/>
      <c r="J12" s="1">
        <f>SUMPRODUCT((NOT(ISBLANK(J$3:J$3))*(J$3:J$3=$AA$3:$AA$3))+ISBLANK(J$3:J$3))</f>
        <v>0</v>
      </c>
      <c r="K12" s="1">
        <f>SUMPRODUCT((NOT(ISBLANK(K$3:K$3))*(K$3:K$3=$AB$3:$AB$3))+ISBLANK(K$3:K$3))</f>
        <v>0</v>
      </c>
      <c r="L12" s="1">
        <f>SUMPRODUCT((NOT(ISBLANK(L$3:L$3))*(L$3:L$3=$Y$3:$Y$3))+ISBLANK(L$3:L$3))</f>
        <v>0</v>
      </c>
      <c r="M12" s="1">
        <f>SUMPRODUCT((NOT(ISBLANK(M$3:M$3))*(M$3:M$3=$Z$3:$Z$3))+ISBLANK(M$3:M$3))</f>
        <v>0</v>
      </c>
      <c r="N12" s="1"/>
      <c r="O12" s="1">
        <f>SUMPRODUCT((NOT(ISBLANK(O$3:O$3))*(O$3:O$3=$AA$3:$AA$3))+ISBLANK(O$3:O$3))</f>
        <v>0</v>
      </c>
      <c r="P12" s="1">
        <f>SUMPRODUCT((NOT(ISBLANK(P$3:P$3))*(P$3:P$3=$AB$3:$AB$3))+ISBLANK(P$3:P$3))</f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2026-02-15T21:38:40Z</dcterms:created>
  <dcterms:modified xsi:type="dcterms:W3CDTF">2026-02-15T21:38:40Z</dcterms:modified>
</cp:coreProperties>
</file>