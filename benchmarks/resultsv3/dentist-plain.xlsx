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<sst xmlns="http://schemas.openxmlformats.org/spreadsheetml/2006/main" count="212" uniqueCount="30">
  <si>
    <t>instances/size-1</t>
  </si>
  <si>
    <t>instances/size-10</t>
  </si>
  <si>
    <t>instances/size-5</t>
  </si>
  <si>
    <t>instances/size-7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</si>
  <si>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</si>
  <si>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</si>
  <si>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</si>
  <si>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</si>
  <si>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</si>
  <si>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</si>
  <si>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</si>
  <si>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</si>
  <si>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memelingo-1/simple_mlp-lpnmr-ht</t>
  </si>
  <si>
    <t>time</t>
  </si>
  <si>
    <t>stime</t>
  </si>
  <si>
    <t>status</t>
  </si>
  <si>
    <t>SATISFIABLE</t>
  </si>
  <si>
    <t>UNKNOWN</t>
  </si>
  <si>
    <t>rules</t>
  </si>
  <si>
    <t>ctime</t>
  </si>
  <si>
    <t>memelingo-1/simple_mlp-lpnmr-htc</t>
  </si>
  <si>
    <t>memelingo-1/simple_mlp-lpnmr-htcdl</t>
  </si>
  <si>
    <t>memelingo-1/simple_mlp-tplp-ht</t>
  </si>
  <si>
    <t>memelingo-1/simple_mlp-tplp-htc</t>
  </si>
  <si>
    <t>memelingo-1/simple_mlp-tplp-htcdl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</si>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</sst>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8" width="11.42578125" customWidth="1"/>
    <col min="9" max="9" width="11.7109375" customWidth="1"/>
    <col min="10" max="13" width="11.42578125" customWidth="1"/>
    <col min="14" max="14" width="11.7109375" customWidth="1"/>
    <col min="15" max="18" width="11.42578125" customWidth="1"/>
    <col min="19" max="19" width="11.7109375" customWidth="1"/>
    <col min="20" max="23" width="11.42578125" customWidth="1"/>
    <col min="24" max="24" width="11.7109375" customWidth="1"/>
    <col min="25" max="28" width="11.42578125" customWidth="1"/>
    <col min="29" max="29" width="11.7109375" customWidth="1"/>
    <col min="30" max="43" width="11.42578125" customWidth="1"/>
  </cols>
  <sheetData>
    <row r="1" spans="1:43">
      <c r="A1" s="1"/>
      <c r="B1" s="1" t="s">
        <v>12</v>
      </c>
      <c r="C1" s="1"/>
      <c r="D1" s="1"/>
      <c r="E1" s="1"/>
      <c r="F1" s="1"/>
      <c r="G1" s="1" t="s">
        <v>20</v>
      </c>
      <c r="H1" s="1"/>
      <c r="I1" s="1"/>
      <c r="J1" s="1"/>
      <c r="K1" s="1"/>
      <c r="L1" s="1" t="s">
        <v>21</v>
      </c>
      <c r="M1" s="1"/>
      <c r="N1" s="1"/>
      <c r="O1" s="1"/>
      <c r="P1" s="1"/>
      <c r="Q1" s="1" t="s">
        <v>22</v>
      </c>
      <c r="R1" s="1"/>
      <c r="S1" s="1"/>
      <c r="T1" s="1"/>
      <c r="U1" s="1"/>
      <c r="V1" s="1" t="s">
        <v>23</v>
      </c>
      <c r="W1" s="1"/>
      <c r="X1" s="1"/>
      <c r="Y1" s="1"/>
      <c r="Z1" s="1"/>
      <c r="AA1" s="1" t="s">
        <v>24</v>
      </c>
      <c r="AB1" s="1"/>
      <c r="AC1" s="1"/>
      <c r="AD1" s="1"/>
      <c r="AE1" s="1"/>
      <c r="AF1" s="1" t="s">
        <v>25</v>
      </c>
      <c r="AG1" s="1"/>
      <c r="AH1" s="1"/>
      <c r="AI1" s="1"/>
      <c r="AJ1" s="1" t="s">
        <v>26</v>
      </c>
      <c r="AK1" s="1"/>
      <c r="AL1" s="1"/>
      <c r="AM1" s="1"/>
      <c r="AN1" s="1" t="s">
        <v>27</v>
      </c>
      <c r="AO1" s="1"/>
      <c r="AP1" s="1"/>
      <c r="AQ1" s="1"/>
    </row>
    <row r="2" spans="1:43">
      <c r="A2" s="1"/>
      <c r="B2" s="1" t="s">
        <v>13</v>
      </c>
      <c r="C2" s="1" t="s">
        <v>14</v>
      </c>
      <c r="D2" s="1" t="s">
        <v>15</v>
      </c>
      <c r="E2" s="1" t="s">
        <v>18</v>
      </c>
      <c r="F2" s="1" t="s">
        <v>19</v>
      </c>
      <c r="G2" s="1" t="s">
        <v>13</v>
      </c>
      <c r="H2" s="1" t="s">
        <v>14</v>
      </c>
      <c r="I2" s="1" t="s">
        <v>15</v>
      </c>
      <c r="J2" s="1" t="s">
        <v>18</v>
      </c>
      <c r="K2" s="1" t="s">
        <v>19</v>
      </c>
      <c r="L2" s="1" t="s">
        <v>13</v>
      </c>
      <c r="M2" s="1" t="s">
        <v>14</v>
      </c>
      <c r="N2" s="1" t="s">
        <v>15</v>
      </c>
      <c r="O2" s="1" t="s">
        <v>18</v>
      </c>
      <c r="P2" s="1" t="s">
        <v>19</v>
      </c>
      <c r="Q2" s="1" t="s">
        <v>13</v>
      </c>
      <c r="R2" s="1" t="s">
        <v>14</v>
      </c>
      <c r="S2" s="1" t="s">
        <v>15</v>
      </c>
      <c r="T2" s="1" t="s">
        <v>18</v>
      </c>
      <c r="U2" s="1" t="s">
        <v>19</v>
      </c>
      <c r="V2" s="1" t="s">
        <v>13</v>
      </c>
      <c r="W2" s="1" t="s">
        <v>14</v>
      </c>
      <c r="X2" s="1" t="s">
        <v>15</v>
      </c>
      <c r="Y2" s="1" t="s">
        <v>18</v>
      </c>
      <c r="Z2" s="1" t="s">
        <v>19</v>
      </c>
      <c r="AA2" s="1" t="s">
        <v>13</v>
      </c>
      <c r="AB2" s="1" t="s">
        <v>14</v>
      </c>
      <c r="AC2" s="1" t="s">
        <v>15</v>
      </c>
      <c r="AD2" s="1" t="s">
        <v>18</v>
      </c>
      <c r="AE2" s="1" t="s">
        <v>19</v>
      </c>
      <c r="AF2" s="1" t="s">
        <v>13</v>
      </c>
      <c r="AG2" s="1" t="s">
        <v>14</v>
      </c>
      <c r="AH2" s="1" t="s">
        <v>18</v>
      </c>
      <c r="AI2" s="1" t="s">
        <v>19</v>
      </c>
      <c r="AJ2" s="1" t="s">
        <v>13</v>
      </c>
      <c r="AK2" s="1" t="s">
        <v>14</v>
      </c>
      <c r="AL2" s="1" t="s">
        <v>18</v>
      </c>
      <c r="AM2" s="1" t="s">
        <v>19</v>
      </c>
      <c r="AN2" s="1" t="s">
        <v>13</v>
      </c>
      <c r="AO2" s="1" t="s">
        <v>14</v>
      </c>
      <c r="AP2" s="1" t="s">
        <v>18</v>
      </c>
      <c r="AQ2" s="1" t="s">
        <v>19</v>
      </c>
    </row>
    <row r="3" spans="1:43">
      <c r="A3" s="1" t="s">
        <v>0</v>
      </c>
      <c r="B3" s="1">
        <v>10.29</v>
      </c>
      <c r="C3" s="1">
        <v>0.03</v>
      </c>
      <c r="D3" s="1" t="s">
        <v>16</v>
      </c>
      <c r="E3" s="1">
        <v>297060</v>
      </c>
      <c r="F3" s="1">
        <v>1.956</v>
      </c>
      <c r="G3" s="1">
        <v>8.380000000000001</v>
      </c>
      <c r="H3" s="1">
        <v>0.01</v>
      </c>
      <c r="I3" s="1" t="s">
        <v>16</v>
      </c>
      <c r="J3" s="1">
        <v>2014</v>
      </c>
      <c r="K3" s="1">
        <v>0.234</v>
      </c>
      <c r="L3" s="1">
        <v>8.74</v>
      </c>
      <c r="M3" s="1">
        <v>0.01</v>
      </c>
      <c r="N3" s="1" t="s">
        <v>16</v>
      </c>
      <c r="O3" s="1">
        <v>2014</v>
      </c>
      <c r="P3" s="1">
        <v>0.231</v>
      </c>
      <c r="Q3" s="1">
        <v>7.93</v>
      </c>
      <c r="R3" s="1">
        <v>0.27</v>
      </c>
      <c r="S3" s="1" t="s">
        <v>16</v>
      </c>
      <c r="T3" s="1">
        <v>334135</v>
      </c>
      <c r="U3" s="1">
        <v>1.8</v>
      </c>
      <c r="V3" s="1">
        <v>8.390000000000001</v>
      </c>
      <c r="W3" s="1">
        <v>0.01</v>
      </c>
      <c r="X3" s="1" t="s">
        <v>16</v>
      </c>
      <c r="Y3" s="1">
        <v>2249</v>
      </c>
      <c r="Z3" s="1">
        <v>0.239</v>
      </c>
      <c r="AA3" s="1">
        <v>8.279999999999999</v>
      </c>
      <c r="AB3" s="1">
        <v>0.01</v>
      </c>
      <c r="AC3" s="1" t="s">
        <v>16</v>
      </c>
      <c r="AD3" s="1">
        <v>2249</v>
      </c>
      <c r="AE3" s="1">
        <v>0.275</v>
      </c>
      <c r="AF3" s="1">
        <f>MIN($B3,$G3,$L3,$Q3,$V3,$AA3)</f>
        <v>0</v>
      </c>
      <c r="AG3" s="1">
        <f>MIN($C3,$H3,$M3,$R3,$W3,$AB3)</f>
        <v>0</v>
      </c>
      <c r="AH3" s="1">
        <f>MIN($E3,$J3,$O3,$T3,$Y3,$AD3)</f>
        <v>0</v>
      </c>
      <c r="AI3" s="1">
        <f>MIN($F3,$K3,$P3,$U3,$Z3,$AE3)</f>
        <v>0</v>
      </c>
      <c r="AJ3" s="1">
        <f>MEDIAN($B3,$G3,$L3,$Q3,$V3,$AA3)</f>
        <v>0</v>
      </c>
      <c r="AK3" s="1">
        <f>MEDIAN($C3,$H3,$M3,$R3,$W3,$AB3)</f>
        <v>0</v>
      </c>
      <c r="AL3" s="1">
        <f>MEDIAN($E3,$J3,$O3,$T3,$Y3,$AD3)</f>
        <v>0</v>
      </c>
      <c r="AM3" s="1">
        <f>MEDIAN($F3,$K3,$P3,$U3,$Z3,$AE3)</f>
        <v>0</v>
      </c>
      <c r="AN3" s="1">
        <f>MAX($B3,$G3,$L3,$Q3,$V3,$AA3)</f>
        <v>0</v>
      </c>
      <c r="AO3" s="1">
        <f>MAX($C3,$H3,$M3,$R3,$W3,$AB3)</f>
        <v>0</v>
      </c>
      <c r="AP3" s="1">
        <f>MAX($E3,$J3,$O3,$T3,$Y3,$AD3)</f>
        <v>0</v>
      </c>
      <c r="AQ3" s="1">
        <f>MAX($F3,$K3,$P3,$U3,$Z3,$AE3)</f>
        <v>0</v>
      </c>
    </row>
    <row r="4" spans="1:43">
      <c r="A4" s="1" t="s">
        <v>1</v>
      </c>
      <c r="B4" s="1">
        <v>1200</v>
      </c>
      <c r="C4" s="1">
        <v>0</v>
      </c>
      <c r="D4" s="1" t="s">
        <v>17</v>
      </c>
      <c r="E4" s="1">
        <v>0</v>
      </c>
      <c r="F4" s="1">
        <v>195.713</v>
      </c>
      <c r="G4" s="1">
        <v>8.48</v>
      </c>
      <c r="H4" s="1">
        <v>0.01</v>
      </c>
      <c r="I4" s="1" t="s">
        <v>16</v>
      </c>
      <c r="J4" s="1">
        <v>2014</v>
      </c>
      <c r="K4" s="1">
        <v>0.23</v>
      </c>
      <c r="L4" s="1">
        <v>8.4</v>
      </c>
      <c r="M4" s="1">
        <v>0.01</v>
      </c>
      <c r="N4" s="1" t="s">
        <v>16</v>
      </c>
      <c r="O4" s="1">
        <v>2014</v>
      </c>
      <c r="P4" s="1">
        <v>0.228</v>
      </c>
      <c r="Q4" s="1">
        <v>1200</v>
      </c>
      <c r="R4" s="1">
        <v>0</v>
      </c>
      <c r="S4" s="1" t="s">
        <v>17</v>
      </c>
      <c r="T4" s="1">
        <v>0</v>
      </c>
      <c r="U4" s="1">
        <v>233.706</v>
      </c>
      <c r="V4" s="1">
        <v>8.390000000000001</v>
      </c>
      <c r="W4" s="1">
        <v>0.02</v>
      </c>
      <c r="X4" s="1" t="s">
        <v>16</v>
      </c>
      <c r="Y4" s="1">
        <v>2249</v>
      </c>
      <c r="Z4" s="1">
        <v>0.236</v>
      </c>
      <c r="AA4" s="1">
        <v>7.78</v>
      </c>
      <c r="AB4" s="1">
        <v>0.01</v>
      </c>
      <c r="AC4" s="1" t="s">
        <v>16</v>
      </c>
      <c r="AD4" s="1">
        <v>2249</v>
      </c>
      <c r="AE4" s="1">
        <v>0.276</v>
      </c>
      <c r="AF4" s="1">
        <f>MIN($B4,$G4,$L4,$Q4,$V4,$AA4)</f>
        <v>0</v>
      </c>
      <c r="AG4" s="1">
        <f>MIN($C4,$H4,$M4,$R4,$W4,$AB4)</f>
        <v>0</v>
      </c>
      <c r="AH4" s="1">
        <f>MIN($E4,$J4,$O4,$T4,$Y4,$AD4)</f>
        <v>0</v>
      </c>
      <c r="AI4" s="1">
        <f>MIN($F4,$K4,$P4,$U4,$Z4,$AE4)</f>
        <v>0</v>
      </c>
      <c r="AJ4" s="1">
        <f>MEDIAN($B4,$G4,$L4,$Q4,$V4,$AA4)</f>
        <v>0</v>
      </c>
      <c r="AK4" s="1">
        <f>MEDIAN($C4,$H4,$M4,$R4,$W4,$AB4)</f>
        <v>0</v>
      </c>
      <c r="AL4" s="1">
        <f>MEDIAN($E4,$J4,$O4,$T4,$Y4,$AD4)</f>
        <v>0</v>
      </c>
      <c r="AM4" s="1">
        <f>MEDIAN($F4,$K4,$P4,$U4,$Z4,$AE4)</f>
        <v>0</v>
      </c>
      <c r="AN4" s="1">
        <f>MAX($B4,$G4,$L4,$Q4,$V4,$AA4)</f>
        <v>0</v>
      </c>
      <c r="AO4" s="1">
        <f>MAX($C4,$H4,$M4,$R4,$W4,$AB4)</f>
        <v>0</v>
      </c>
      <c r="AP4" s="1">
        <f>MAX($E4,$J4,$O4,$T4,$Y4,$AD4)</f>
        <v>0</v>
      </c>
      <c r="AQ4" s="1">
        <f>MAX($F4,$K4,$P4,$U4,$Z4,$AE4)</f>
        <v>0</v>
      </c>
    </row>
    <row r="5" spans="1:43">
      <c r="A5" s="1" t="s">
        <v>2</v>
      </c>
      <c r="B5" s="1">
        <v>81.78</v>
      </c>
      <c r="C5" s="1">
        <v>17.96</v>
      </c>
      <c r="D5" s="1" t="s">
        <v>16</v>
      </c>
      <c r="E5" s="1">
        <v>7527300</v>
      </c>
      <c r="F5" s="1">
        <v>72.54000000000001</v>
      </c>
      <c r="G5" s="1">
        <v>8.41</v>
      </c>
      <c r="H5" s="1">
        <v>0.01</v>
      </c>
      <c r="I5" s="1" t="s">
        <v>16</v>
      </c>
      <c r="J5" s="1">
        <v>2014</v>
      </c>
      <c r="K5" s="1">
        <v>0.216</v>
      </c>
      <c r="L5" s="1">
        <v>8.73</v>
      </c>
      <c r="M5" s="1">
        <v>0.01</v>
      </c>
      <c r="N5" s="1" t="s">
        <v>16</v>
      </c>
      <c r="O5" s="1">
        <v>2014</v>
      </c>
      <c r="P5" s="1">
        <v>0.245</v>
      </c>
      <c r="Q5" s="1">
        <v>66.95999999999999</v>
      </c>
      <c r="R5" s="1">
        <v>7.2</v>
      </c>
      <c r="S5" s="1" t="s">
        <v>16</v>
      </c>
      <c r="T5" s="1">
        <v>8437935</v>
      </c>
      <c r="U5" s="1">
        <v>60.122</v>
      </c>
      <c r="V5" s="1">
        <v>8.369999999999999</v>
      </c>
      <c r="W5" s="1">
        <v>0.02</v>
      </c>
      <c r="X5" s="1" t="s">
        <v>16</v>
      </c>
      <c r="Y5" s="1">
        <v>2249</v>
      </c>
      <c r="Z5" s="1">
        <v>0.282</v>
      </c>
      <c r="AA5" s="1">
        <v>8.76</v>
      </c>
      <c r="AB5" s="1">
        <v>0.01</v>
      </c>
      <c r="AC5" s="1" t="s">
        <v>16</v>
      </c>
      <c r="AD5" s="1">
        <v>2249</v>
      </c>
      <c r="AE5" s="1">
        <v>0.263</v>
      </c>
      <c r="AF5" s="1">
        <f>MIN($B5,$G5,$L5,$Q5,$V5,$AA5)</f>
        <v>0</v>
      </c>
      <c r="AG5" s="1">
        <f>MIN($C5,$H5,$M5,$R5,$W5,$AB5)</f>
        <v>0</v>
      </c>
      <c r="AH5" s="1">
        <f>MIN($E5,$J5,$O5,$T5,$Y5,$AD5)</f>
        <v>0</v>
      </c>
      <c r="AI5" s="1">
        <f>MIN($F5,$K5,$P5,$U5,$Z5,$AE5)</f>
        <v>0</v>
      </c>
      <c r="AJ5" s="1">
        <f>MEDIAN($B5,$G5,$L5,$Q5,$V5,$AA5)</f>
        <v>0</v>
      </c>
      <c r="AK5" s="1">
        <f>MEDIAN($C5,$H5,$M5,$R5,$W5,$AB5)</f>
        <v>0</v>
      </c>
      <c r="AL5" s="1">
        <f>MEDIAN($E5,$J5,$O5,$T5,$Y5,$AD5)</f>
        <v>0</v>
      </c>
      <c r="AM5" s="1">
        <f>MEDIAN($F5,$K5,$P5,$U5,$Z5,$AE5)</f>
        <v>0</v>
      </c>
      <c r="AN5" s="1">
        <f>MAX($B5,$G5,$L5,$Q5,$V5,$AA5)</f>
        <v>0</v>
      </c>
      <c r="AO5" s="1">
        <f>MAX($C5,$H5,$M5,$R5,$W5,$AB5)</f>
        <v>0</v>
      </c>
      <c r="AP5" s="1">
        <f>MAX($E5,$J5,$O5,$T5,$Y5,$AD5)</f>
        <v>0</v>
      </c>
      <c r="AQ5" s="1">
        <f>MAX($F5,$K5,$P5,$U5,$Z5,$AE5)</f>
        <v>0</v>
      </c>
    </row>
    <row r="6" spans="1:43">
      <c r="A6" s="1" t="s">
        <v>3</v>
      </c>
      <c r="B6" s="1">
        <v>142.33</v>
      </c>
      <c r="C6" s="1">
        <v>16.37</v>
      </c>
      <c r="D6" s="1" t="s">
        <v>16</v>
      </c>
      <c r="E6" s="1">
        <v>14772420</v>
      </c>
      <c r="F6" s="1">
        <v>132.76</v>
      </c>
      <c r="G6" s="1">
        <v>8.75</v>
      </c>
      <c r="H6" s="1">
        <v>0.01</v>
      </c>
      <c r="I6" s="1" t="s">
        <v>16</v>
      </c>
      <c r="J6" s="1">
        <v>2014</v>
      </c>
      <c r="K6" s="1">
        <v>0.231</v>
      </c>
      <c r="L6" s="1">
        <v>8.51</v>
      </c>
      <c r="M6" s="1">
        <v>0.01</v>
      </c>
      <c r="N6" s="1" t="s">
        <v>16</v>
      </c>
      <c r="O6" s="1">
        <v>2014</v>
      </c>
      <c r="P6" s="1">
        <v>0.229</v>
      </c>
      <c r="Q6" s="1">
        <v>209.67</v>
      </c>
      <c r="R6" s="1">
        <v>80.98</v>
      </c>
      <c r="S6" s="1" t="s">
        <v>16</v>
      </c>
      <c r="T6" s="1">
        <v>16555435</v>
      </c>
      <c r="U6" s="1">
        <v>201.125</v>
      </c>
      <c r="V6" s="1">
        <v>8.26</v>
      </c>
      <c r="W6" s="1">
        <v>0.02</v>
      </c>
      <c r="X6" s="1" t="s">
        <v>16</v>
      </c>
      <c r="Y6" s="1">
        <v>2249</v>
      </c>
      <c r="Z6" s="1">
        <v>0.251</v>
      </c>
      <c r="AA6" s="1">
        <v>8.130000000000001</v>
      </c>
      <c r="AB6" s="1">
        <v>0.01</v>
      </c>
      <c r="AC6" s="1" t="s">
        <v>16</v>
      </c>
      <c r="AD6" s="1">
        <v>2249</v>
      </c>
      <c r="AE6" s="1">
        <v>0.243</v>
      </c>
      <c r="AF6" s="1">
        <f>MIN($B6,$G6,$L6,$Q6,$V6,$AA6)</f>
        <v>0</v>
      </c>
      <c r="AG6" s="1">
        <f>MIN($C6,$H6,$M6,$R6,$W6,$AB6)</f>
        <v>0</v>
      </c>
      <c r="AH6" s="1">
        <f>MIN($E6,$J6,$O6,$T6,$Y6,$AD6)</f>
        <v>0</v>
      </c>
      <c r="AI6" s="1">
        <f>MIN($F6,$K6,$P6,$U6,$Z6,$AE6)</f>
        <v>0</v>
      </c>
      <c r="AJ6" s="1">
        <f>MEDIAN($B6,$G6,$L6,$Q6,$V6,$AA6)</f>
        <v>0</v>
      </c>
      <c r="AK6" s="1">
        <f>MEDIAN($C6,$H6,$M6,$R6,$W6,$AB6)</f>
        <v>0</v>
      </c>
      <c r="AL6" s="1">
        <f>MEDIAN($E6,$J6,$O6,$T6,$Y6,$AD6)</f>
        <v>0</v>
      </c>
      <c r="AM6" s="1">
        <f>MEDIAN($F6,$K6,$P6,$U6,$Z6,$AE6)</f>
        <v>0</v>
      </c>
      <c r="AN6" s="1">
        <f>MAX($B6,$G6,$L6,$Q6,$V6,$AA6)</f>
        <v>0</v>
      </c>
      <c r="AO6" s="1">
        <f>MAX($C6,$H6,$M6,$R6,$W6,$AB6)</f>
        <v>0</v>
      </c>
      <c r="AP6" s="1">
        <f>MAX($E6,$J6,$O6,$T6,$Y6,$AD6)</f>
        <v>0</v>
      </c>
      <c r="AQ6" s="1">
        <f>MAX($F6,$K6,$P6,$U6,$Z6,$AE6)</f>
        <v>0</v>
      </c>
    </row>
    <row r="7" spans="1:4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>
      <c r="A8" s="1" t="s">
        <v>4</v>
      </c>
      <c r="B8" s="1">
        <f>SUM(B$3:B$6)</f>
        <v>0</v>
      </c>
      <c r="C8" s="1">
        <f>SUM(C$3:C$6)</f>
        <v>0</v>
      </c>
      <c r="D8" s="1"/>
      <c r="E8" s="1">
        <f>SUM(E$3:E$6)</f>
        <v>0</v>
      </c>
      <c r="F8" s="1">
        <f>SUM(F$3:F$6)</f>
        <v>0</v>
      </c>
      <c r="G8" s="1">
        <f>SUM(G$3:G$6)</f>
        <v>0</v>
      </c>
      <c r="H8" s="1">
        <f>SUM(H$3:H$6)</f>
        <v>0</v>
      </c>
      <c r="I8" s="1"/>
      <c r="J8" s="1">
        <f>SUM(J$3:J$6)</f>
        <v>0</v>
      </c>
      <c r="K8" s="1">
        <f>SUM(K$3:K$6)</f>
        <v>0</v>
      </c>
      <c r="L8" s="1">
        <f>SUM(L$3:L$6)</f>
        <v>0</v>
      </c>
      <c r="M8" s="1">
        <f>SUM(M$3:M$6)</f>
        <v>0</v>
      </c>
      <c r="N8" s="1"/>
      <c r="O8" s="1">
        <f>SUM(O$3:O$6)</f>
        <v>0</v>
      </c>
      <c r="P8" s="1">
        <f>SUM(P$3:P$6)</f>
        <v>0</v>
      </c>
      <c r="Q8" s="1">
        <f>SUM(Q$3:Q$6)</f>
        <v>0</v>
      </c>
      <c r="R8" s="1">
        <f>SUM(R$3:R$6)</f>
        <v>0</v>
      </c>
      <c r="S8" s="1"/>
      <c r="T8" s="1">
        <f>SUM(T$3:T$6)</f>
        <v>0</v>
      </c>
      <c r="U8" s="1">
        <f>SUM(U$3:U$6)</f>
        <v>0</v>
      </c>
      <c r="V8" s="1">
        <f>SUM(V$3:V$6)</f>
        <v>0</v>
      </c>
      <c r="W8" s="1">
        <f>SUM(W$3:W$6)</f>
        <v>0</v>
      </c>
      <c r="X8" s="1"/>
      <c r="Y8" s="1">
        <f>SUM(Y$3:Y$6)</f>
        <v>0</v>
      </c>
      <c r="Z8" s="1">
        <f>SUM(Z$3:Z$6)</f>
        <v>0</v>
      </c>
      <c r="AA8" s="1">
        <f>SUM(AA$3:AA$6)</f>
        <v>0</v>
      </c>
      <c r="AB8" s="1">
        <f>SUM(AB$3:AB$6)</f>
        <v>0</v>
      </c>
      <c r="AC8" s="1"/>
      <c r="AD8" s="1">
        <f>SUM(AD$3:AD$6)</f>
        <v>0</v>
      </c>
      <c r="AE8" s="1">
        <f>SUM(AE$3:AE$6)</f>
        <v>0</v>
      </c>
      <c r="AF8" s="1">
        <f>SUM(AF$3:AF$6)</f>
        <v>0</v>
      </c>
      <c r="AG8" s="1">
        <f>SUM(AG$3:AG$6)</f>
        <v>0</v>
      </c>
      <c r="AH8" s="1">
        <f>SUM(AH$3:AH$6)</f>
        <v>0</v>
      </c>
      <c r="AI8" s="1">
        <f>SUM(AI$3:AI$6)</f>
        <v>0</v>
      </c>
      <c r="AJ8" s="1">
        <f>SUM(AJ$3:AJ$6)</f>
        <v>0</v>
      </c>
      <c r="AK8" s="1">
        <f>SUM(AK$3:AK$6)</f>
        <v>0</v>
      </c>
      <c r="AL8" s="1">
        <f>SUM(AL$3:AL$6)</f>
        <v>0</v>
      </c>
      <c r="AM8" s="1">
        <f>SUM(AM$3:AM$6)</f>
        <v>0</v>
      </c>
      <c r="AN8" s="1">
        <f>SUM(AN$3:AN$6)</f>
        <v>0</v>
      </c>
      <c r="AO8" s="1">
        <f>SUM(AO$3:AO$6)</f>
        <v>0</v>
      </c>
      <c r="AP8" s="1">
        <f>SUM(AP$3:AP$6)</f>
        <v>0</v>
      </c>
      <c r="AQ8" s="1">
        <f>SUM(AQ$3:AQ$6)</f>
        <v>0</v>
      </c>
    </row>
    <row r="9" spans="1:43">
      <c r="A9" s="1" t="s">
        <v>5</v>
      </c>
      <c r="B9" s="1">
        <f>AVERAGE(B$3:B$6)</f>
        <v>0</v>
      </c>
      <c r="C9" s="1">
        <f>AVERAGE(C$3:C$6)</f>
        <v>0</v>
      </c>
      <c r="D9" s="1"/>
      <c r="E9" s="1">
        <f>AVERAGE(E$3:E$6)</f>
        <v>0</v>
      </c>
      <c r="F9" s="1">
        <f>AVERAGE(F$3:F$6)</f>
        <v>0</v>
      </c>
      <c r="G9" s="1">
        <f>AVERAGE(G$3:G$6)</f>
        <v>0</v>
      </c>
      <c r="H9" s="1">
        <f>AVERAGE(H$3:H$6)</f>
        <v>0</v>
      </c>
      <c r="I9" s="1"/>
      <c r="J9" s="1">
        <f>AVERAGE(J$3:J$6)</f>
        <v>0</v>
      </c>
      <c r="K9" s="1">
        <f>AVERAGE(K$3:K$6)</f>
        <v>0</v>
      </c>
      <c r="L9" s="1">
        <f>AVERAGE(L$3:L$6)</f>
        <v>0</v>
      </c>
      <c r="M9" s="1">
        <f>AVERAGE(M$3:M$6)</f>
        <v>0</v>
      </c>
      <c r="N9" s="1"/>
      <c r="O9" s="1">
        <f>AVERAGE(O$3:O$6)</f>
        <v>0</v>
      </c>
      <c r="P9" s="1">
        <f>AVERAGE(P$3:P$6)</f>
        <v>0</v>
      </c>
      <c r="Q9" s="1">
        <f>AVERAGE(Q$3:Q$6)</f>
        <v>0</v>
      </c>
      <c r="R9" s="1">
        <f>AVERAGE(R$3:R$6)</f>
        <v>0</v>
      </c>
      <c r="S9" s="1"/>
      <c r="T9" s="1">
        <f>AVERAGE(T$3:T$6)</f>
        <v>0</v>
      </c>
      <c r="U9" s="1">
        <f>AVERAGE(U$3:U$6)</f>
        <v>0</v>
      </c>
      <c r="V9" s="1">
        <f>AVERAGE(V$3:V$6)</f>
        <v>0</v>
      </c>
      <c r="W9" s="1">
        <f>AVERAGE(W$3:W$6)</f>
        <v>0</v>
      </c>
      <c r="X9" s="1"/>
      <c r="Y9" s="1">
        <f>AVERAGE(Y$3:Y$6)</f>
        <v>0</v>
      </c>
      <c r="Z9" s="1">
        <f>AVERAGE(Z$3:Z$6)</f>
        <v>0</v>
      </c>
      <c r="AA9" s="1">
        <f>AVERAGE(AA$3:AA$6)</f>
        <v>0</v>
      </c>
      <c r="AB9" s="1">
        <f>AVERAGE(AB$3:AB$6)</f>
        <v>0</v>
      </c>
      <c r="AC9" s="1"/>
      <c r="AD9" s="1">
        <f>AVERAGE(AD$3:AD$6)</f>
        <v>0</v>
      </c>
      <c r="AE9" s="1">
        <f>AVERAGE(AE$3:AE$6)</f>
        <v>0</v>
      </c>
      <c r="AF9" s="1">
        <f>AVERAGE(AF$3:AF$6)</f>
        <v>0</v>
      </c>
      <c r="AG9" s="1">
        <f>AVERAGE(AG$3:AG$6)</f>
        <v>0</v>
      </c>
      <c r="AH9" s="1">
        <f>AVERAGE(AH$3:AH$6)</f>
        <v>0</v>
      </c>
      <c r="AI9" s="1">
        <f>AVERAGE(AI$3:AI$6)</f>
        <v>0</v>
      </c>
      <c r="AJ9" s="1">
        <f>AVERAGE(AJ$3:AJ$6)</f>
        <v>0</v>
      </c>
      <c r="AK9" s="1">
        <f>AVERAGE(AK$3:AK$6)</f>
        <v>0</v>
      </c>
      <c r="AL9" s="1">
        <f>AVERAGE(AL$3:AL$6)</f>
        <v>0</v>
      </c>
      <c r="AM9" s="1">
        <f>AVERAGE(AM$3:AM$6)</f>
        <v>0</v>
      </c>
      <c r="AN9" s="1">
        <f>AVERAGE(AN$3:AN$6)</f>
        <v>0</v>
      </c>
      <c r="AO9" s="1">
        <f>AVERAGE(AO$3:AO$6)</f>
        <v>0</v>
      </c>
      <c r="AP9" s="1">
        <f>AVERAGE(AP$3:AP$6)</f>
        <v>0</v>
      </c>
      <c r="AQ9" s="1">
        <f>AVERAGE(AQ$3:AQ$6)</f>
        <v>0</v>
      </c>
    </row>
    <row r="10" spans="1:43">
      <c r="A10" s="1" t="s">
        <v>6</v>
      </c>
      <c r="B10" s="1">
        <f>STDEV(B$3:B$6)</f>
        <v>0</v>
      </c>
      <c r="C10" s="1">
        <f>STDEV(C$3:C$6)</f>
        <v>0</v>
      </c>
      <c r="D10" s="1"/>
      <c r="E10" s="1">
        <f>STDEV(E$3:E$6)</f>
        <v>0</v>
      </c>
      <c r="F10" s="1">
        <f>STDEV(F$3:F$6)</f>
        <v>0</v>
      </c>
      <c r="G10" s="1">
        <f>STDEV(G$3:G$6)</f>
        <v>0</v>
      </c>
      <c r="H10" s="1">
        <f>STDEV(H$3:H$6)</f>
        <v>0</v>
      </c>
      <c r="I10" s="1"/>
      <c r="J10" s="1">
        <f>STDEV(J$3:J$6)</f>
        <v>0</v>
      </c>
      <c r="K10" s="1">
        <f>STDEV(K$3:K$6)</f>
        <v>0</v>
      </c>
      <c r="L10" s="1">
        <f>STDEV(L$3:L$6)</f>
        <v>0</v>
      </c>
      <c r="M10" s="1">
        <f>STDEV(M$3:M$6)</f>
        <v>0</v>
      </c>
      <c r="N10" s="1"/>
      <c r="O10" s="1">
        <f>STDEV(O$3:O$6)</f>
        <v>0</v>
      </c>
      <c r="P10" s="1">
        <f>STDEV(P$3:P$6)</f>
        <v>0</v>
      </c>
      <c r="Q10" s="1">
        <f>STDEV(Q$3:Q$6)</f>
        <v>0</v>
      </c>
      <c r="R10" s="1">
        <f>STDEV(R$3:R$6)</f>
        <v>0</v>
      </c>
      <c r="S10" s="1"/>
      <c r="T10" s="1">
        <f>STDEV(T$3:T$6)</f>
        <v>0</v>
      </c>
      <c r="U10" s="1">
        <f>STDEV(U$3:U$6)</f>
        <v>0</v>
      </c>
      <c r="V10" s="1">
        <f>STDEV(V$3:V$6)</f>
        <v>0</v>
      </c>
      <c r="W10" s="1">
        <f>STDEV(W$3:W$6)</f>
        <v>0</v>
      </c>
      <c r="X10" s="1"/>
      <c r="Y10" s="1">
        <f>STDEV(Y$3:Y$6)</f>
        <v>0</v>
      </c>
      <c r="Z10" s="1">
        <f>STDEV(Z$3:Z$6)</f>
        <v>0</v>
      </c>
      <c r="AA10" s="1">
        <f>STDEV(AA$3:AA$6)</f>
        <v>0</v>
      </c>
      <c r="AB10" s="1">
        <f>STDEV(AB$3:AB$6)</f>
        <v>0</v>
      </c>
      <c r="AC10" s="1"/>
      <c r="AD10" s="1">
        <f>STDEV(AD$3:AD$6)</f>
        <v>0</v>
      </c>
      <c r="AE10" s="1">
        <f>STDEV(AE$3:AE$6)</f>
        <v>0</v>
      </c>
      <c r="AF10" s="1">
        <f>STDEV(AF$3:AF$6)</f>
        <v>0</v>
      </c>
      <c r="AG10" s="1">
        <f>STDEV(AG$3:AG$6)</f>
        <v>0</v>
      </c>
      <c r="AH10" s="1">
        <f>STDEV(AH$3:AH$6)</f>
        <v>0</v>
      </c>
      <c r="AI10" s="1">
        <f>STDEV(AI$3:AI$6)</f>
        <v>0</v>
      </c>
      <c r="AJ10" s="1">
        <f>STDEV(AJ$3:AJ$6)</f>
        <v>0</v>
      </c>
      <c r="AK10" s="1">
        <f>STDEV(AK$3:AK$6)</f>
        <v>0</v>
      </c>
      <c r="AL10" s="1">
        <f>STDEV(AL$3:AL$6)</f>
        <v>0</v>
      </c>
      <c r="AM10" s="1">
        <f>STDEV(AM$3:AM$6)</f>
        <v>0</v>
      </c>
      <c r="AN10" s="1">
        <f>STDEV(AN$3:AN$6)</f>
        <v>0</v>
      </c>
      <c r="AO10" s="1">
        <f>STDEV(AO$3:AO$6)</f>
        <v>0</v>
      </c>
      <c r="AP10" s="1">
        <f>STDEV(AP$3:AP$6)</f>
        <v>0</v>
      </c>
      <c r="AQ10" s="1">
        <f>STDEV(AQ$3:AQ$6)</f>
        <v>0</v>
      </c>
    </row>
    <row r="11" spans="1:43">
      <c r="A11" s="1" t="s">
        <v>7</v>
      </c>
      <c r="B11" s="1">
        <f>SUMPRODUCT(--(B$3:B$6-$AF$3:$AF$6)^2)^0.5</f>
        <v>0</v>
      </c>
      <c r="C11" s="1">
        <f>SUMPRODUCT(--(C$3:C$6-$AG$3:$AG$6)^2)^0.5</f>
        <v>0</v>
      </c>
      <c r="D11" s="1"/>
      <c r="E11" s="1">
        <f>SUMPRODUCT(--(E$3:E$6-$AH$3:$AH$6)^2)^0.5</f>
        <v>0</v>
      </c>
      <c r="F11" s="1">
        <f>SUMPRODUCT(--(F$3:F$6-$AI$3:$AI$6)^2)^0.5</f>
        <v>0</v>
      </c>
      <c r="G11" s="1">
        <f>SUMPRODUCT(--(G$3:G$6-$AF$3:$AF$6)^2)^0.5</f>
        <v>0</v>
      </c>
      <c r="H11" s="1">
        <f>SUMPRODUCT(--(H$3:H$6-$AG$3:$AG$6)^2)^0.5</f>
        <v>0</v>
      </c>
      <c r="I11" s="1"/>
      <c r="J11" s="1">
        <f>SUMPRODUCT(--(J$3:J$6-$AH$3:$AH$6)^2)^0.5</f>
        <v>0</v>
      </c>
      <c r="K11" s="1">
        <f>SUMPRODUCT(--(K$3:K$6-$AI$3:$AI$6)^2)^0.5</f>
        <v>0</v>
      </c>
      <c r="L11" s="1">
        <f>SUMPRODUCT(--(L$3:L$6-$AF$3:$AF$6)^2)^0.5</f>
        <v>0</v>
      </c>
      <c r="M11" s="1">
        <f>SUMPRODUCT(--(M$3:M$6-$AG$3:$AG$6)^2)^0.5</f>
        <v>0</v>
      </c>
      <c r="N11" s="1"/>
      <c r="O11" s="1">
        <f>SUMPRODUCT(--(O$3:O$6-$AH$3:$AH$6)^2)^0.5</f>
        <v>0</v>
      </c>
      <c r="P11" s="1">
        <f>SUMPRODUCT(--(P$3:P$6-$AI$3:$AI$6)^2)^0.5</f>
        <v>0</v>
      </c>
      <c r="Q11" s="1">
        <f>SUMPRODUCT(--(Q$3:Q$6-$AF$3:$AF$6)^2)^0.5</f>
        <v>0</v>
      </c>
      <c r="R11" s="1">
        <f>SUMPRODUCT(--(R$3:R$6-$AG$3:$AG$6)^2)^0.5</f>
        <v>0</v>
      </c>
      <c r="S11" s="1"/>
      <c r="T11" s="1">
        <f>SUMPRODUCT(--(T$3:T$6-$AH$3:$AH$6)^2)^0.5</f>
        <v>0</v>
      </c>
      <c r="U11" s="1">
        <f>SUMPRODUCT(--(U$3:U$6-$AI$3:$AI$6)^2)^0.5</f>
        <v>0</v>
      </c>
      <c r="V11" s="1">
        <f>SUMPRODUCT(--(V$3:V$6-$AF$3:$AF$6)^2)^0.5</f>
        <v>0</v>
      </c>
      <c r="W11" s="1">
        <f>SUMPRODUCT(--(W$3:W$6-$AG$3:$AG$6)^2)^0.5</f>
        <v>0</v>
      </c>
      <c r="X11" s="1"/>
      <c r="Y11" s="1">
        <f>SUMPRODUCT(--(Y$3:Y$6-$AH$3:$AH$6)^2)^0.5</f>
        <v>0</v>
      </c>
      <c r="Z11" s="1">
        <f>SUMPRODUCT(--(Z$3:Z$6-$AI$3:$AI$6)^2)^0.5</f>
        <v>0</v>
      </c>
      <c r="AA11" s="1">
        <f>SUMPRODUCT(--(AA$3:AA$6-$AF$3:$AF$6)^2)^0.5</f>
        <v>0</v>
      </c>
      <c r="AB11" s="1">
        <f>SUMPRODUCT(--(AB$3:AB$6-$AG$3:$AG$6)^2)^0.5</f>
        <v>0</v>
      </c>
      <c r="AC11" s="1"/>
      <c r="AD11" s="1">
        <f>SUMPRODUCT(--(AD$3:AD$6-$AH$3:$AH$6)^2)^0.5</f>
        <v>0</v>
      </c>
      <c r="AE11" s="1">
        <f>SUMPRODUCT(--(AE$3:AE$6-$AI$3:$AI$6)^2)^0.5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" t="s">
        <v>8</v>
      </c>
      <c r="B12" s="1">
        <f>SUMPRODUCT(NOT(ISBLANK(B$3:B$6))*(B$3:B$6=$AF$3:$AF$6))</f>
        <v>0</v>
      </c>
      <c r="C12" s="1">
        <f>SUMPRODUCT(NOT(ISBLANK(C$3:C$6))*(C$3:C$6=$AG$3:$AG$6))</f>
        <v>0</v>
      </c>
      <c r="D12" s="1"/>
      <c r="E12" s="1">
        <f>SUMPRODUCT(NOT(ISBLANK(E$3:E$6))*(E$3:E$6=$AH$3:$AH$6))</f>
        <v>0</v>
      </c>
      <c r="F12" s="1">
        <f>SUMPRODUCT(NOT(ISBLANK(F$3:F$6))*(F$3:F$6=$AI$3:$AI$6))</f>
        <v>0</v>
      </c>
      <c r="G12" s="1">
        <f>SUMPRODUCT(NOT(ISBLANK(G$3:G$6))*(G$3:G$6=$AF$3:$AF$6))</f>
        <v>0</v>
      </c>
      <c r="H12" s="1">
        <f>SUMPRODUCT(NOT(ISBLANK(H$3:H$6))*(H$3:H$6=$AG$3:$AG$6))</f>
        <v>0</v>
      </c>
      <c r="I12" s="1"/>
      <c r="J12" s="1">
        <f>SUMPRODUCT(NOT(ISBLANK(J$3:J$6))*(J$3:J$6=$AH$3:$AH$6))</f>
        <v>0</v>
      </c>
      <c r="K12" s="1">
        <f>SUMPRODUCT(NOT(ISBLANK(K$3:K$6))*(K$3:K$6=$AI$3:$AI$6))</f>
        <v>0</v>
      </c>
      <c r="L12" s="1">
        <f>SUMPRODUCT(NOT(ISBLANK(L$3:L$6))*(L$3:L$6=$AF$3:$AF$6))</f>
        <v>0</v>
      </c>
      <c r="M12" s="1">
        <f>SUMPRODUCT(NOT(ISBLANK(M$3:M$6))*(M$3:M$6=$AG$3:$AG$6))</f>
        <v>0</v>
      </c>
      <c r="N12" s="1"/>
      <c r="O12" s="1">
        <f>SUMPRODUCT(NOT(ISBLANK(O$3:O$6))*(O$3:O$6=$AH$3:$AH$6))</f>
        <v>0</v>
      </c>
      <c r="P12" s="1">
        <f>SUMPRODUCT(NOT(ISBLANK(P$3:P$6))*(P$3:P$6=$AI$3:$AI$6))</f>
        <v>0</v>
      </c>
      <c r="Q12" s="1">
        <f>SUMPRODUCT(NOT(ISBLANK(Q$3:Q$6))*(Q$3:Q$6=$AF$3:$AF$6))</f>
        <v>0</v>
      </c>
      <c r="R12" s="1">
        <f>SUMPRODUCT(NOT(ISBLANK(R$3:R$6))*(R$3:R$6=$AG$3:$AG$6))</f>
        <v>0</v>
      </c>
      <c r="S12" s="1"/>
      <c r="T12" s="1">
        <f>SUMPRODUCT(NOT(ISBLANK(T$3:T$6))*(T$3:T$6=$AH$3:$AH$6))</f>
        <v>0</v>
      </c>
      <c r="U12" s="1">
        <f>SUMPRODUCT(NOT(ISBLANK(U$3:U$6))*(U$3:U$6=$AI$3:$AI$6))</f>
        <v>0</v>
      </c>
      <c r="V12" s="1">
        <f>SUMPRODUCT(NOT(ISBLANK(V$3:V$6))*(V$3:V$6=$AF$3:$AF$6))</f>
        <v>0</v>
      </c>
      <c r="W12" s="1">
        <f>SUMPRODUCT(NOT(ISBLANK(W$3:W$6))*(W$3:W$6=$AG$3:$AG$6))</f>
        <v>0</v>
      </c>
      <c r="X12" s="1"/>
      <c r="Y12" s="1">
        <f>SUMPRODUCT(NOT(ISBLANK(Y$3:Y$6))*(Y$3:Y$6=$AH$3:$AH$6))</f>
        <v>0</v>
      </c>
      <c r="Z12" s="1">
        <f>SUMPRODUCT(NOT(ISBLANK(Z$3:Z$6))*(Z$3:Z$6=$AI$3:$AI$6))</f>
        <v>0</v>
      </c>
      <c r="AA12" s="1">
        <f>SUMPRODUCT(NOT(ISBLANK(AA$3:AA$6))*(AA$3:AA$6=$AF$3:$AF$6))</f>
        <v>0</v>
      </c>
      <c r="AB12" s="1">
        <f>SUMPRODUCT(NOT(ISBLANK(AB$3:AB$6))*(AB$3:AB$6=$AG$3:$AG$6))</f>
        <v>0</v>
      </c>
      <c r="AC12" s="1"/>
      <c r="AD12" s="1">
        <f>SUMPRODUCT(NOT(ISBLANK(AD$3:AD$6))*(AD$3:AD$6=$AH$3:$AH$6))</f>
        <v>0</v>
      </c>
      <c r="AE12" s="1">
        <f>SUMPRODUCT(NOT(ISBLANK(AE$3:AE$6))*(AE$3:AE$6=$AI$3:$AI$6))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>
      <c r="A13" s="1" t="s">
        <v>9</v>
      </c>
      <c r="B13" s="1">
        <f>SUMPRODUCT(NOT(ISBLANK(B$3:B$6))*(B$3:B$6&lt;$AJ$3:$AJ$6))</f>
        <v>0</v>
      </c>
      <c r="C13" s="1">
        <f>SUMPRODUCT(NOT(ISBLANK(C$3:C$6))*(C$3:C$6&lt;$AK$3:$AK$6))</f>
        <v>0</v>
      </c>
      <c r="D13" s="1"/>
      <c r="E13" s="1">
        <f>SUMPRODUCT(NOT(ISBLANK(E$3:E$6))*(E$3:E$6&lt;$AL$3:$AL$6))</f>
        <v>0</v>
      </c>
      <c r="F13" s="1">
        <f>SUMPRODUCT(NOT(ISBLANK(F$3:F$6))*(F$3:F$6&lt;$AM$3:$AM$6))</f>
        <v>0</v>
      </c>
      <c r="G13" s="1">
        <f>SUMPRODUCT(NOT(ISBLANK(G$3:G$6))*(G$3:G$6&lt;$AJ$3:$AJ$6))</f>
        <v>0</v>
      </c>
      <c r="H13" s="1">
        <f>SUMPRODUCT(NOT(ISBLANK(H$3:H$6))*(H$3:H$6&lt;$AK$3:$AK$6))</f>
        <v>0</v>
      </c>
      <c r="I13" s="1"/>
      <c r="J13" s="1">
        <f>SUMPRODUCT(NOT(ISBLANK(J$3:J$6))*(J$3:J$6&lt;$AL$3:$AL$6))</f>
        <v>0</v>
      </c>
      <c r="K13" s="1">
        <f>SUMPRODUCT(NOT(ISBLANK(K$3:K$6))*(K$3:K$6&lt;$AM$3:$AM$6))</f>
        <v>0</v>
      </c>
      <c r="L13" s="1">
        <f>SUMPRODUCT(NOT(ISBLANK(L$3:L$6))*(L$3:L$6&lt;$AJ$3:$AJ$6))</f>
        <v>0</v>
      </c>
      <c r="M13" s="1">
        <f>SUMPRODUCT(NOT(ISBLANK(M$3:M$6))*(M$3:M$6&lt;$AK$3:$AK$6))</f>
        <v>0</v>
      </c>
      <c r="N13" s="1"/>
      <c r="O13" s="1">
        <f>SUMPRODUCT(NOT(ISBLANK(O$3:O$6))*(O$3:O$6&lt;$AL$3:$AL$6))</f>
        <v>0</v>
      </c>
      <c r="P13" s="1">
        <f>SUMPRODUCT(NOT(ISBLANK(P$3:P$6))*(P$3:P$6&lt;$AM$3:$AM$6))</f>
        <v>0</v>
      </c>
      <c r="Q13" s="1">
        <f>SUMPRODUCT(NOT(ISBLANK(Q$3:Q$6))*(Q$3:Q$6&lt;$AJ$3:$AJ$6))</f>
        <v>0</v>
      </c>
      <c r="R13" s="1">
        <f>SUMPRODUCT(NOT(ISBLANK(R$3:R$6))*(R$3:R$6&lt;$AK$3:$AK$6))</f>
        <v>0</v>
      </c>
      <c r="S13" s="1"/>
      <c r="T13" s="1">
        <f>SUMPRODUCT(NOT(ISBLANK(T$3:T$6))*(T$3:T$6&lt;$AL$3:$AL$6))</f>
        <v>0</v>
      </c>
      <c r="U13" s="1">
        <f>SUMPRODUCT(NOT(ISBLANK(U$3:U$6))*(U$3:U$6&lt;$AM$3:$AM$6))</f>
        <v>0</v>
      </c>
      <c r="V13" s="1">
        <f>SUMPRODUCT(NOT(ISBLANK(V$3:V$6))*(V$3:V$6&lt;$AJ$3:$AJ$6))</f>
        <v>0</v>
      </c>
      <c r="W13" s="1">
        <f>SUMPRODUCT(NOT(ISBLANK(W$3:W$6))*(W$3:W$6&lt;$AK$3:$AK$6))</f>
        <v>0</v>
      </c>
      <c r="X13" s="1"/>
      <c r="Y13" s="1">
        <f>SUMPRODUCT(NOT(ISBLANK(Y$3:Y$6))*(Y$3:Y$6&lt;$AL$3:$AL$6))</f>
        <v>0</v>
      </c>
      <c r="Z13" s="1">
        <f>SUMPRODUCT(NOT(ISBLANK(Z$3:Z$6))*(Z$3:Z$6&lt;$AM$3:$AM$6))</f>
        <v>0</v>
      </c>
      <c r="AA13" s="1">
        <f>SUMPRODUCT(NOT(ISBLANK(AA$3:AA$6))*(AA$3:AA$6&lt;$AJ$3:$AJ$6))</f>
        <v>0</v>
      </c>
      <c r="AB13" s="1">
        <f>SUMPRODUCT(NOT(ISBLANK(AB$3:AB$6))*(AB$3:AB$6&lt;$AK$3:$AK$6))</f>
        <v>0</v>
      </c>
      <c r="AC13" s="1"/>
      <c r="AD13" s="1">
        <f>SUMPRODUCT(NOT(ISBLANK(AD$3:AD$6))*(AD$3:AD$6&lt;$AL$3:$AL$6))</f>
        <v>0</v>
      </c>
      <c r="AE13" s="1">
        <f>SUMPRODUCT(NOT(ISBLANK(AE$3:AE$6))*(AE$3:AE$6&lt;$AM$3:$AM$6))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1" t="s">
        <v>10</v>
      </c>
      <c r="B14" s="1">
        <f>SUMPRODUCT((NOT(ISBLANK(B$3:B$6))*(B$3:B$6&gt;$AJ$3:$AJ$6))+ISBLANK(B$3:B$6))</f>
        <v>0</v>
      </c>
      <c r="C14" s="1">
        <f>SUMPRODUCT((NOT(ISBLANK(C$3:C$6))*(C$3:C$6&gt;$AK$3:$AK$6))+ISBLANK(C$3:C$6))</f>
        <v>0</v>
      </c>
      <c r="D14" s="1"/>
      <c r="E14" s="1">
        <f>SUMPRODUCT((NOT(ISBLANK(E$3:E$6))*(E$3:E$6&gt;$AL$3:$AL$6))+ISBLANK(E$3:E$6))</f>
        <v>0</v>
      </c>
      <c r="F14" s="1">
        <f>SUMPRODUCT((NOT(ISBLANK(F$3:F$6))*(F$3:F$6&gt;$AM$3:$AM$6))+ISBLANK(F$3:F$6))</f>
        <v>0</v>
      </c>
      <c r="G14" s="1">
        <f>SUMPRODUCT((NOT(ISBLANK(G$3:G$6))*(G$3:G$6&gt;$AJ$3:$AJ$6))+ISBLANK(G$3:G$6))</f>
        <v>0</v>
      </c>
      <c r="H14" s="1">
        <f>SUMPRODUCT((NOT(ISBLANK(H$3:H$6))*(H$3:H$6&gt;$AK$3:$AK$6))+ISBLANK(H$3:H$6))</f>
        <v>0</v>
      </c>
      <c r="I14" s="1"/>
      <c r="J14" s="1">
        <f>SUMPRODUCT((NOT(ISBLANK(J$3:J$6))*(J$3:J$6&gt;$AL$3:$AL$6))+ISBLANK(J$3:J$6))</f>
        <v>0</v>
      </c>
      <c r="K14" s="1">
        <f>SUMPRODUCT((NOT(ISBLANK(K$3:K$6))*(K$3:K$6&gt;$AM$3:$AM$6))+ISBLANK(K$3:K$6))</f>
        <v>0</v>
      </c>
      <c r="L14" s="1">
        <f>SUMPRODUCT((NOT(ISBLANK(L$3:L$6))*(L$3:L$6&gt;$AJ$3:$AJ$6))+ISBLANK(L$3:L$6))</f>
        <v>0</v>
      </c>
      <c r="M14" s="1">
        <f>SUMPRODUCT((NOT(ISBLANK(M$3:M$6))*(M$3:M$6&gt;$AK$3:$AK$6))+ISBLANK(M$3:M$6))</f>
        <v>0</v>
      </c>
      <c r="N14" s="1"/>
      <c r="O14" s="1">
        <f>SUMPRODUCT((NOT(ISBLANK(O$3:O$6))*(O$3:O$6&gt;$AL$3:$AL$6))+ISBLANK(O$3:O$6))</f>
        <v>0</v>
      </c>
      <c r="P14" s="1">
        <f>SUMPRODUCT((NOT(ISBLANK(P$3:P$6))*(P$3:P$6&gt;$AM$3:$AM$6))+ISBLANK(P$3:P$6))</f>
        <v>0</v>
      </c>
      <c r="Q14" s="1">
        <f>SUMPRODUCT((NOT(ISBLANK(Q$3:Q$6))*(Q$3:Q$6&gt;$AJ$3:$AJ$6))+ISBLANK(Q$3:Q$6))</f>
        <v>0</v>
      </c>
      <c r="R14" s="1">
        <f>SUMPRODUCT((NOT(ISBLANK(R$3:R$6))*(R$3:R$6&gt;$AK$3:$AK$6))+ISBLANK(R$3:R$6))</f>
        <v>0</v>
      </c>
      <c r="S14" s="1"/>
      <c r="T14" s="1">
        <f>SUMPRODUCT((NOT(ISBLANK(T$3:T$6))*(T$3:T$6&gt;$AL$3:$AL$6))+ISBLANK(T$3:T$6))</f>
        <v>0</v>
      </c>
      <c r="U14" s="1">
        <f>SUMPRODUCT((NOT(ISBLANK(U$3:U$6))*(U$3:U$6&gt;$AM$3:$AM$6))+ISBLANK(U$3:U$6))</f>
        <v>0</v>
      </c>
      <c r="V14" s="1">
        <f>SUMPRODUCT((NOT(ISBLANK(V$3:V$6))*(V$3:V$6&gt;$AJ$3:$AJ$6))+ISBLANK(V$3:V$6))</f>
        <v>0</v>
      </c>
      <c r="W14" s="1">
        <f>SUMPRODUCT((NOT(ISBLANK(W$3:W$6))*(W$3:W$6&gt;$AK$3:$AK$6))+ISBLANK(W$3:W$6))</f>
        <v>0</v>
      </c>
      <c r="X14" s="1"/>
      <c r="Y14" s="1">
        <f>SUMPRODUCT((NOT(ISBLANK(Y$3:Y$6))*(Y$3:Y$6&gt;$AL$3:$AL$6))+ISBLANK(Y$3:Y$6))</f>
        <v>0</v>
      </c>
      <c r="Z14" s="1">
        <f>SUMPRODUCT((NOT(ISBLANK(Z$3:Z$6))*(Z$3:Z$6&gt;$AM$3:$AM$6))+ISBLANK(Z$3:Z$6))</f>
        <v>0</v>
      </c>
      <c r="AA14" s="1">
        <f>SUMPRODUCT((NOT(ISBLANK(AA$3:AA$6))*(AA$3:AA$6&gt;$AJ$3:$AJ$6))+ISBLANK(AA$3:AA$6))</f>
        <v>0</v>
      </c>
      <c r="AB14" s="1">
        <f>SUMPRODUCT((NOT(ISBLANK(AB$3:AB$6))*(AB$3:AB$6&gt;$AK$3:$AK$6))+ISBLANK(AB$3:AB$6))</f>
        <v>0</v>
      </c>
      <c r="AC14" s="1"/>
      <c r="AD14" s="1">
        <f>SUMPRODUCT((NOT(ISBLANK(AD$3:AD$6))*(AD$3:AD$6&gt;$AL$3:$AL$6))+ISBLANK(AD$3:AD$6))</f>
        <v>0</v>
      </c>
      <c r="AE14" s="1">
        <f>SUMPRODUCT((NOT(ISBLANK(AE$3:AE$6))*(AE$3:AE$6&gt;$AM$3:$AM$6))+ISBLANK(AE$3:AE$6))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>
      <c r="A15" s="1" t="s">
        <v>11</v>
      </c>
      <c r="B15" s="1">
        <f>SUMPRODUCT((NOT(ISBLANK(B$3:B$6))*(B$3:B$6=$AN$3:$AN$6))+ISBLANK(B$3:B$6))</f>
        <v>0</v>
      </c>
      <c r="C15" s="1">
        <f>SUMPRODUCT((NOT(ISBLANK(C$3:C$6))*(C$3:C$6=$AO$3:$AO$6))+ISBLANK(C$3:C$6))</f>
        <v>0</v>
      </c>
      <c r="D15" s="1"/>
      <c r="E15" s="1">
        <f>SUMPRODUCT((NOT(ISBLANK(E$3:E$6))*(E$3:E$6=$AP$3:$AP$6))+ISBLANK(E$3:E$6))</f>
        <v>0</v>
      </c>
      <c r="F15" s="1">
        <f>SUMPRODUCT((NOT(ISBLANK(F$3:F$6))*(F$3:F$6=$AQ$3:$AQ$6))+ISBLANK(F$3:F$6))</f>
        <v>0</v>
      </c>
      <c r="G15" s="1">
        <f>SUMPRODUCT((NOT(ISBLANK(G$3:G$6))*(G$3:G$6=$AN$3:$AN$6))+ISBLANK(G$3:G$6))</f>
        <v>0</v>
      </c>
      <c r="H15" s="1">
        <f>SUMPRODUCT((NOT(ISBLANK(H$3:H$6))*(H$3:H$6=$AO$3:$AO$6))+ISBLANK(H$3:H$6))</f>
        <v>0</v>
      </c>
      <c r="I15" s="1"/>
      <c r="J15" s="1">
        <f>SUMPRODUCT((NOT(ISBLANK(J$3:J$6))*(J$3:J$6=$AP$3:$AP$6))+ISBLANK(J$3:J$6))</f>
        <v>0</v>
      </c>
      <c r="K15" s="1">
        <f>SUMPRODUCT((NOT(ISBLANK(K$3:K$6))*(K$3:K$6=$AQ$3:$AQ$6))+ISBLANK(K$3:K$6))</f>
        <v>0</v>
      </c>
      <c r="L15" s="1">
        <f>SUMPRODUCT((NOT(ISBLANK(L$3:L$6))*(L$3:L$6=$AN$3:$AN$6))+ISBLANK(L$3:L$6))</f>
        <v>0</v>
      </c>
      <c r="M15" s="1">
        <f>SUMPRODUCT((NOT(ISBLANK(M$3:M$6))*(M$3:M$6=$AO$3:$AO$6))+ISBLANK(M$3:M$6))</f>
        <v>0</v>
      </c>
      <c r="N15" s="1"/>
      <c r="O15" s="1">
        <f>SUMPRODUCT((NOT(ISBLANK(O$3:O$6))*(O$3:O$6=$AP$3:$AP$6))+ISBLANK(O$3:O$6))</f>
        <v>0</v>
      </c>
      <c r="P15" s="1">
        <f>SUMPRODUCT((NOT(ISBLANK(P$3:P$6))*(P$3:P$6=$AQ$3:$AQ$6))+ISBLANK(P$3:P$6))</f>
        <v>0</v>
      </c>
      <c r="Q15" s="1">
        <f>SUMPRODUCT((NOT(ISBLANK(Q$3:Q$6))*(Q$3:Q$6=$AN$3:$AN$6))+ISBLANK(Q$3:Q$6))</f>
        <v>0</v>
      </c>
      <c r="R15" s="1">
        <f>SUMPRODUCT((NOT(ISBLANK(R$3:R$6))*(R$3:R$6=$AO$3:$AO$6))+ISBLANK(R$3:R$6))</f>
        <v>0</v>
      </c>
      <c r="S15" s="1"/>
      <c r="T15" s="1">
        <f>SUMPRODUCT((NOT(ISBLANK(T$3:T$6))*(T$3:T$6=$AP$3:$AP$6))+ISBLANK(T$3:T$6))</f>
        <v>0</v>
      </c>
      <c r="U15" s="1">
        <f>SUMPRODUCT((NOT(ISBLANK(U$3:U$6))*(U$3:U$6=$AQ$3:$AQ$6))+ISBLANK(U$3:U$6))</f>
        <v>0</v>
      </c>
      <c r="V15" s="1">
        <f>SUMPRODUCT((NOT(ISBLANK(V$3:V$6))*(V$3:V$6=$AN$3:$AN$6))+ISBLANK(V$3:V$6))</f>
        <v>0</v>
      </c>
      <c r="W15" s="1">
        <f>SUMPRODUCT((NOT(ISBLANK(W$3:W$6))*(W$3:W$6=$AO$3:$AO$6))+ISBLANK(W$3:W$6))</f>
        <v>0</v>
      </c>
      <c r="X15" s="1"/>
      <c r="Y15" s="1">
        <f>SUMPRODUCT((NOT(ISBLANK(Y$3:Y$6))*(Y$3:Y$6=$AP$3:$AP$6))+ISBLANK(Y$3:Y$6))</f>
        <v>0</v>
      </c>
      <c r="Z15" s="1">
        <f>SUMPRODUCT((NOT(ISBLANK(Z$3:Z$6))*(Z$3:Z$6=$AQ$3:$AQ$6))+ISBLANK(Z$3:Z$6))</f>
        <v>0</v>
      </c>
      <c r="AA15" s="1">
        <f>SUMPRODUCT((NOT(ISBLANK(AA$3:AA$6))*(AA$3:AA$6=$AN$3:$AN$6))+ISBLANK(AA$3:AA$6))</f>
        <v>0</v>
      </c>
      <c r="AB15" s="1">
        <f>SUMPRODUCT((NOT(ISBLANK(AB$3:AB$6))*(AB$3:AB$6=$AO$3:$AO$6))+ISBLANK(AB$3:AB$6))</f>
        <v>0</v>
      </c>
      <c r="AC15" s="1"/>
      <c r="AD15" s="1">
        <f>SUMPRODUCT((NOT(ISBLANK(AD$3:AD$6))*(AD$3:AD$6=$AP$3:$AP$6))+ISBLANK(AD$3:AD$6))</f>
        <v>0</v>
      </c>
      <c r="AE15" s="1">
        <f>SUMPRODUCT((NOT(ISBLANK(AE$3:AE$6))*(AE$3:AE$6=$AQ$3:$AQ$6))+ISBLANK(AE$3:AE$6))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43" width="11.42578125" customWidth="1"/>
  </cols>
  <sheetData>
    <row r="1" spans="1:43">
      <c r="A1" s="1" t="s">
        <v>28</v>
      </c>
      <c r="B1" s="1" t="s">
        <v>12</v>
      </c>
      <c r="C1" s="1"/>
      <c r="D1" s="1"/>
      <c r="E1" s="1"/>
      <c r="F1" s="1"/>
      <c r="G1" s="1" t="s">
        <v>20</v>
      </c>
      <c r="H1" s="1"/>
      <c r="I1" s="1"/>
      <c r="J1" s="1"/>
      <c r="K1" s="1"/>
      <c r="L1" s="1" t="s">
        <v>21</v>
      </c>
      <c r="M1" s="1"/>
      <c r="N1" s="1"/>
      <c r="O1" s="1"/>
      <c r="P1" s="1"/>
      <c r="Q1" s="1" t="s">
        <v>22</v>
      </c>
      <c r="R1" s="1"/>
      <c r="S1" s="1"/>
      <c r="T1" s="1"/>
      <c r="U1" s="1"/>
      <c r="V1" s="1" t="s">
        <v>23</v>
      </c>
      <c r="W1" s="1"/>
      <c r="X1" s="1"/>
      <c r="Y1" s="1"/>
      <c r="Z1" s="1"/>
      <c r="AA1" s="1" t="s">
        <v>24</v>
      </c>
      <c r="AB1" s="1"/>
      <c r="AC1" s="1"/>
      <c r="AD1" s="1"/>
      <c r="AE1" s="1"/>
      <c r="AF1" s="1" t="s">
        <v>25</v>
      </c>
      <c r="AG1" s="1"/>
      <c r="AH1" s="1"/>
      <c r="AI1" s="1"/>
      <c r="AJ1" s="1" t="s">
        <v>26</v>
      </c>
      <c r="AK1" s="1"/>
      <c r="AL1" s="1"/>
      <c r="AM1" s="1"/>
      <c r="AN1" s="1" t="s">
        <v>27</v>
      </c>
      <c r="AO1" s="1"/>
      <c r="AP1" s="1"/>
      <c r="AQ1" s="1"/>
    </row>
    <row r="2" spans="1:43">
      <c r="A2" s="2" t="s">
        <v>26</v>
      </c>
      <c r="B2" s="1" t="s">
        <v>13</v>
      </c>
      <c r="C2" s="1" t="s">
        <v>14</v>
      </c>
      <c r="D2" s="1" t="s">
        <v>15</v>
      </c>
      <c r="E2" s="1" t="s">
        <v>18</v>
      </c>
      <c r="F2" s="1" t="s">
        <v>19</v>
      </c>
      <c r="G2" s="1" t="s">
        <v>13</v>
      </c>
      <c r="H2" s="1" t="s">
        <v>14</v>
      </c>
      <c r="I2" s="1" t="s">
        <v>15</v>
      </c>
      <c r="J2" s="1" t="s">
        <v>18</v>
      </c>
      <c r="K2" s="1" t="s">
        <v>19</v>
      </c>
      <c r="L2" s="1" t="s">
        <v>13</v>
      </c>
      <c r="M2" s="1" t="s">
        <v>14</v>
      </c>
      <c r="N2" s="1" t="s">
        <v>15</v>
      </c>
      <c r="O2" s="1" t="s">
        <v>18</v>
      </c>
      <c r="P2" s="1" t="s">
        <v>19</v>
      </c>
      <c r="Q2" s="1" t="s">
        <v>13</v>
      </c>
      <c r="R2" s="1" t="s">
        <v>14</v>
      </c>
      <c r="S2" s="1" t="s">
        <v>15</v>
      </c>
      <c r="T2" s="1" t="s">
        <v>18</v>
      </c>
      <c r="U2" s="1" t="s">
        <v>19</v>
      </c>
      <c r="V2" s="1" t="s">
        <v>13</v>
      </c>
      <c r="W2" s="1" t="s">
        <v>14</v>
      </c>
      <c r="X2" s="1" t="s">
        <v>15</v>
      </c>
      <c r="Y2" s="1" t="s">
        <v>18</v>
      </c>
      <c r="Z2" s="1" t="s">
        <v>19</v>
      </c>
      <c r="AA2" s="1" t="s">
        <v>13</v>
      </c>
      <c r="AB2" s="1" t="s">
        <v>14</v>
      </c>
      <c r="AC2" s="1" t="s">
        <v>15</v>
      </c>
      <c r="AD2" s="1" t="s">
        <v>18</v>
      </c>
      <c r="AE2" s="1" t="s">
        <v>19</v>
      </c>
      <c r="AF2" s="1" t="s">
        <v>13</v>
      </c>
      <c r="AG2" s="1" t="s">
        <v>14</v>
      </c>
      <c r="AH2" s="1" t="s">
        <v>18</v>
      </c>
      <c r="AI2" s="1" t="s">
        <v>19</v>
      </c>
      <c r="AJ2" s="1" t="s">
        <v>13</v>
      </c>
      <c r="AK2" s="1" t="s">
        <v>14</v>
      </c>
      <c r="AL2" s="1" t="s">
        <v>18</v>
      </c>
      <c r="AM2" s="1" t="s">
        <v>19</v>
      </c>
      <c r="AN2" s="1" t="s">
        <v>13</v>
      </c>
      <c r="AO2" s="1" t="s">
        <v>14</v>
      </c>
      <c r="AP2" s="1" t="s">
        <v>18</v>
      </c>
      <c r="AQ2" s="1" t="s">
        <v>19</v>
      </c>
    </row>
    <row r="3" spans="1:4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/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/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/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/>
      <c r="Y3" s="1" cm="1">
        <f t="array" ref="Y3">_xlfn.SWITCH($A$2,"average", AVERAGE(Instances!Y3:Instances!Y3),"median", MEDIAN(Instances!Y3:Instances!Y3),"min", MIN(Instances!Y3:Instances!Y3),"max", MAX(Instances!Y3:Instances!Y3),"diff", MAX(Instances!Y3:Instances!Y3)-MIN(Instances!Y3:Instances!Y3))</f>
        <v>0</v>
      </c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/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>
        <f>MIN($B3,$G3,$L3,$Q3,$V3,$AA3)</f>
        <v>0</v>
      </c>
      <c r="AG3" s="1">
        <f>MIN($C3,$H3,$M3,$R3,$W3,$AB3)</f>
        <v>0</v>
      </c>
      <c r="AH3" s="1">
        <f>MIN($E3,$J3,$O3,$T3,$Y3,$AD3)</f>
        <v>0</v>
      </c>
      <c r="AI3" s="1">
        <f>MIN($F3,$K3,$P3,$U3,$Z3,$AE3)</f>
        <v>0</v>
      </c>
      <c r="AJ3" s="1">
        <f>MEDIAN($B3,$G3,$L3,$Q3,$V3,$AA3)</f>
        <v>0</v>
      </c>
      <c r="AK3" s="1">
        <f>MEDIAN($C3,$H3,$M3,$R3,$W3,$AB3)</f>
        <v>0</v>
      </c>
      <c r="AL3" s="1">
        <f>MEDIAN($E3,$J3,$O3,$T3,$Y3,$AD3)</f>
        <v>0</v>
      </c>
      <c r="AM3" s="1">
        <f>MEDIAN($F3,$K3,$P3,$U3,$Z3,$AE3)</f>
        <v>0</v>
      </c>
      <c r="AN3" s="1">
        <f>MAX($B3,$G3,$L3,$Q3,$V3,$AA3)</f>
        <v>0</v>
      </c>
      <c r="AO3" s="1">
        <f>MAX($C3,$H3,$M3,$R3,$W3,$AB3)</f>
        <v>0</v>
      </c>
      <c r="AP3" s="1">
        <f>MAX($E3,$J3,$O3,$T3,$Y3,$AD3)</f>
        <v>0</v>
      </c>
      <c r="AQ3" s="1">
        <f>MAX($F3,$K3,$P3,$U3,$Z3,$AE3)</f>
        <v>0</v>
      </c>
    </row>
    <row r="4" spans="1:4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/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/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/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/>
      <c r="Y4" s="1" cm="1">
        <f t="array" ref="Y4">_xlfn.SWITCH($A$2,"average", AVERAGE(Instances!Y4:Instances!Y4),"median", MEDIAN(Instances!Y4:Instances!Y4),"min", MIN(Instances!Y4:Instances!Y4),"max", MAX(Instances!Y4:Instances!Y4),"diff", MAX(Instances!Y4:Instances!Y4)-MIN(Instances!Y4:Instances!Y4))</f>
        <v>0</v>
      </c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/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>
        <f>MIN($B4,$G4,$L4,$Q4,$V4,$AA4)</f>
        <v>0</v>
      </c>
      <c r="AG4" s="1">
        <f>MIN($C4,$H4,$M4,$R4,$W4,$AB4)</f>
        <v>0</v>
      </c>
      <c r="AH4" s="1">
        <f>MIN($E4,$J4,$O4,$T4,$Y4,$AD4)</f>
        <v>0</v>
      </c>
      <c r="AI4" s="1">
        <f>MIN($F4,$K4,$P4,$U4,$Z4,$AE4)</f>
        <v>0</v>
      </c>
      <c r="AJ4" s="1">
        <f>MEDIAN($B4,$G4,$L4,$Q4,$V4,$AA4)</f>
        <v>0</v>
      </c>
      <c r="AK4" s="1">
        <f>MEDIAN($C4,$H4,$M4,$R4,$W4,$AB4)</f>
        <v>0</v>
      </c>
      <c r="AL4" s="1">
        <f>MEDIAN($E4,$J4,$O4,$T4,$Y4,$AD4)</f>
        <v>0</v>
      </c>
      <c r="AM4" s="1">
        <f>MEDIAN($F4,$K4,$P4,$U4,$Z4,$AE4)</f>
        <v>0</v>
      </c>
      <c r="AN4" s="1">
        <f>MAX($B4,$G4,$L4,$Q4,$V4,$AA4)</f>
        <v>0</v>
      </c>
      <c r="AO4" s="1">
        <f>MAX($C4,$H4,$M4,$R4,$W4,$AB4)</f>
        <v>0</v>
      </c>
      <c r="AP4" s="1">
        <f>MAX($E4,$J4,$O4,$T4,$Y4,$AD4)</f>
        <v>0</v>
      </c>
      <c r="AQ4" s="1">
        <f>MAX($F4,$K4,$P4,$U4,$Z4,$AE4)</f>
        <v>0</v>
      </c>
    </row>
    <row r="5" spans="1:4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/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/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/>
      <c r="Y5" s="1" cm="1">
        <f t="array" ref="Y5">_xlfn.SWITCH($A$2,"average", AVERAGE(Instances!Y5:Instances!Y5),"median", MEDIAN(Instances!Y5:Instances!Y5),"min", MIN(Instances!Y5:Instances!Y5),"max", MAX(Instances!Y5:Instances!Y5),"diff", MAX(Instances!Y5:Instances!Y5)-MIN(Instances!Y5:Instances!Y5))</f>
        <v>0</v>
      </c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/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>
        <f>MIN($B5,$G5,$L5,$Q5,$V5,$AA5)</f>
        <v>0</v>
      </c>
      <c r="AG5" s="1">
        <f>MIN($C5,$H5,$M5,$R5,$W5,$AB5)</f>
        <v>0</v>
      </c>
      <c r="AH5" s="1">
        <f>MIN($E5,$J5,$O5,$T5,$Y5,$AD5)</f>
        <v>0</v>
      </c>
      <c r="AI5" s="1">
        <f>MIN($F5,$K5,$P5,$U5,$Z5,$AE5)</f>
        <v>0</v>
      </c>
      <c r="AJ5" s="1">
        <f>MEDIAN($B5,$G5,$L5,$Q5,$V5,$AA5)</f>
        <v>0</v>
      </c>
      <c r="AK5" s="1">
        <f>MEDIAN($C5,$H5,$M5,$R5,$W5,$AB5)</f>
        <v>0</v>
      </c>
      <c r="AL5" s="1">
        <f>MEDIAN($E5,$J5,$O5,$T5,$Y5,$AD5)</f>
        <v>0</v>
      </c>
      <c r="AM5" s="1">
        <f>MEDIAN($F5,$K5,$P5,$U5,$Z5,$AE5)</f>
        <v>0</v>
      </c>
      <c r="AN5" s="1">
        <f>MAX($B5,$G5,$L5,$Q5,$V5,$AA5)</f>
        <v>0</v>
      </c>
      <c r="AO5" s="1">
        <f>MAX($C5,$H5,$M5,$R5,$W5,$AB5)</f>
        <v>0</v>
      </c>
      <c r="AP5" s="1">
        <f>MAX($E5,$J5,$O5,$T5,$Y5,$AD5)</f>
        <v>0</v>
      </c>
      <c r="AQ5" s="1">
        <f>MAX($F5,$K5,$P5,$U5,$Z5,$AE5)</f>
        <v>0</v>
      </c>
    </row>
    <row r="6" spans="1:4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/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/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/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/>
      <c r="Y6" s="1" cm="1">
        <f t="array" ref="Y6">_xlfn.SWITCH($A$2,"average", AVERAGE(Instances!Y6:Instances!Y6),"median", MEDIAN(Instances!Y6:Instances!Y6),"min", MIN(Instances!Y6:Instances!Y6),"max", MAX(Instances!Y6:Instances!Y6),"diff", MAX(Instances!Y6:Instances!Y6)-MIN(Instances!Y6:Instances!Y6))</f>
        <v>0</v>
      </c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 cm="1">
        <f t="array" ref="AA6">_xlfn.SWITCH($A$2,"average", AVERAGE(Instances!AA6:Instances!AA6),"median", MEDIAN(Instances!AA6:Instances!AA6),"min", MIN(Instances!AA6:Instances!AA6),"max", MAX(Instances!AA6:Instances!AA6),"diff", MAX(Instances!AA6:Instances!AA6)-MIN(Instances!AA6:Instances!AA6))</f>
        <v>0</v>
      </c>
      <c r="AB6" s="1" cm="1">
        <f t="array" ref="AB6">_xlfn.SWITCH($A$2,"average", AVERAGE(Instances!AB6:Instances!AB6),"median", MEDIAN(Instances!AB6:Instances!AB6),"min", MIN(Instances!AB6:Instances!AB6),"max", MAX(Instances!AB6:Instances!AB6),"diff", MAX(Instances!AB6:Instances!AB6)-MIN(Instances!AB6:Instances!AB6))</f>
        <v>0</v>
      </c>
      <c r="AC6" s="1"/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>
        <f>MIN($B6,$G6,$L6,$Q6,$V6,$AA6)</f>
        <v>0</v>
      </c>
      <c r="AG6" s="1">
        <f>MIN($C6,$H6,$M6,$R6,$W6,$AB6)</f>
        <v>0</v>
      </c>
      <c r="AH6" s="1">
        <f>MIN($E6,$J6,$O6,$T6,$Y6,$AD6)</f>
        <v>0</v>
      </c>
      <c r="AI6" s="1">
        <f>MIN($F6,$K6,$P6,$U6,$Z6,$AE6)</f>
        <v>0</v>
      </c>
      <c r="AJ6" s="1">
        <f>MEDIAN($B6,$G6,$L6,$Q6,$V6,$AA6)</f>
        <v>0</v>
      </c>
      <c r="AK6" s="1">
        <f>MEDIAN($C6,$H6,$M6,$R6,$W6,$AB6)</f>
        <v>0</v>
      </c>
      <c r="AL6" s="1">
        <f>MEDIAN($E6,$J6,$O6,$T6,$Y6,$AD6)</f>
        <v>0</v>
      </c>
      <c r="AM6" s="1">
        <f>MEDIAN($F6,$K6,$P6,$U6,$Z6,$AE6)</f>
        <v>0</v>
      </c>
      <c r="AN6" s="1">
        <f>MAX($B6,$G6,$L6,$Q6,$V6,$AA6)</f>
        <v>0</v>
      </c>
      <c r="AO6" s="1">
        <f>MAX($C6,$H6,$M6,$R6,$W6,$AB6)</f>
        <v>0</v>
      </c>
      <c r="AP6" s="1">
        <f>MAX($E6,$J6,$O6,$T6,$Y6,$AD6)</f>
        <v>0</v>
      </c>
      <c r="AQ6" s="1">
        <f>MAX($F6,$K6,$P6,$U6,$Z6,$AE6)</f>
        <v>0</v>
      </c>
    </row>
    <row r="7" spans="1:4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>
      <c r="A8" s="1" t="s">
        <v>4</v>
      </c>
      <c r="B8" s="1">
        <f>SUM(B$3:B$6)</f>
        <v>0</v>
      </c>
      <c r="C8" s="1">
        <f>SUM(C$3:C$6)</f>
        <v>0</v>
      </c>
      <c r="D8" s="1"/>
      <c r="E8" s="1">
        <f>SUM(E$3:E$6)</f>
        <v>0</v>
      </c>
      <c r="F8" s="1">
        <f>SUM(F$3:F$6)</f>
        <v>0</v>
      </c>
      <c r="G8" s="1">
        <f>SUM(G$3:G$6)</f>
        <v>0</v>
      </c>
      <c r="H8" s="1">
        <f>SUM(H$3:H$6)</f>
        <v>0</v>
      </c>
      <c r="I8" s="1"/>
      <c r="J8" s="1">
        <f>SUM(J$3:J$6)</f>
        <v>0</v>
      </c>
      <c r="K8" s="1">
        <f>SUM(K$3:K$6)</f>
        <v>0</v>
      </c>
      <c r="L8" s="1">
        <f>SUM(L$3:L$6)</f>
        <v>0</v>
      </c>
      <c r="M8" s="1">
        <f>SUM(M$3:M$6)</f>
        <v>0</v>
      </c>
      <c r="N8" s="1"/>
      <c r="O8" s="1">
        <f>SUM(O$3:O$6)</f>
        <v>0</v>
      </c>
      <c r="P8" s="1">
        <f>SUM(P$3:P$6)</f>
        <v>0</v>
      </c>
      <c r="Q8" s="1">
        <f>SUM(Q$3:Q$6)</f>
        <v>0</v>
      </c>
      <c r="R8" s="1">
        <f>SUM(R$3:R$6)</f>
        <v>0</v>
      </c>
      <c r="S8" s="1"/>
      <c r="T8" s="1">
        <f>SUM(T$3:T$6)</f>
        <v>0</v>
      </c>
      <c r="U8" s="1">
        <f>SUM(U$3:U$6)</f>
        <v>0</v>
      </c>
      <c r="V8" s="1">
        <f>SUM(V$3:V$6)</f>
        <v>0</v>
      </c>
      <c r="W8" s="1">
        <f>SUM(W$3:W$6)</f>
        <v>0</v>
      </c>
      <c r="X8" s="1"/>
      <c r="Y8" s="1">
        <f>SUM(Y$3:Y$6)</f>
        <v>0</v>
      </c>
      <c r="Z8" s="1">
        <f>SUM(Z$3:Z$6)</f>
        <v>0</v>
      </c>
      <c r="AA8" s="1">
        <f>SUM(AA$3:AA$6)</f>
        <v>0</v>
      </c>
      <c r="AB8" s="1">
        <f>SUM(AB$3:AB$6)</f>
        <v>0</v>
      </c>
      <c r="AC8" s="1"/>
      <c r="AD8" s="1">
        <f>SUM(AD$3:AD$6)</f>
        <v>0</v>
      </c>
      <c r="AE8" s="1">
        <f>SUM(AE$3:AE$6)</f>
        <v>0</v>
      </c>
      <c r="AF8" s="1">
        <f>SUM(AF$3:AF$6)</f>
        <v>0</v>
      </c>
      <c r="AG8" s="1">
        <f>SUM(AG$3:AG$6)</f>
        <v>0</v>
      </c>
      <c r="AH8" s="1">
        <f>SUM(AH$3:AH$6)</f>
        <v>0</v>
      </c>
      <c r="AI8" s="1">
        <f>SUM(AI$3:AI$6)</f>
        <v>0</v>
      </c>
      <c r="AJ8" s="1">
        <f>SUM(AJ$3:AJ$6)</f>
        <v>0</v>
      </c>
      <c r="AK8" s="1">
        <f>SUM(AK$3:AK$6)</f>
        <v>0</v>
      </c>
      <c r="AL8" s="1">
        <f>SUM(AL$3:AL$6)</f>
        <v>0</v>
      </c>
      <c r="AM8" s="1">
        <f>SUM(AM$3:AM$6)</f>
        <v>0</v>
      </c>
      <c r="AN8" s="1">
        <f>SUM(AN$3:AN$6)</f>
        <v>0</v>
      </c>
      <c r="AO8" s="1">
        <f>SUM(AO$3:AO$6)</f>
        <v>0</v>
      </c>
      <c r="AP8" s="1">
        <f>SUM(AP$3:AP$6)</f>
        <v>0</v>
      </c>
      <c r="AQ8" s="1">
        <f>SUM(AQ$3:AQ$6)</f>
        <v>0</v>
      </c>
    </row>
    <row r="9" spans="1:43">
      <c r="A9" s="1" t="s">
        <v>5</v>
      </c>
      <c r="B9" s="1">
        <f>AVERAGE(B$3:B$6)</f>
        <v>0</v>
      </c>
      <c r="C9" s="1">
        <f>AVERAGE(C$3:C$6)</f>
        <v>0</v>
      </c>
      <c r="D9" s="1"/>
      <c r="E9" s="1">
        <f>AVERAGE(E$3:E$6)</f>
        <v>0</v>
      </c>
      <c r="F9" s="1">
        <f>AVERAGE(F$3:F$6)</f>
        <v>0</v>
      </c>
      <c r="G9" s="1">
        <f>AVERAGE(G$3:G$6)</f>
        <v>0</v>
      </c>
      <c r="H9" s="1">
        <f>AVERAGE(H$3:H$6)</f>
        <v>0</v>
      </c>
      <c r="I9" s="1"/>
      <c r="J9" s="1">
        <f>AVERAGE(J$3:J$6)</f>
        <v>0</v>
      </c>
      <c r="K9" s="1">
        <f>AVERAGE(K$3:K$6)</f>
        <v>0</v>
      </c>
      <c r="L9" s="1">
        <f>AVERAGE(L$3:L$6)</f>
        <v>0</v>
      </c>
      <c r="M9" s="1">
        <f>AVERAGE(M$3:M$6)</f>
        <v>0</v>
      </c>
      <c r="N9" s="1"/>
      <c r="O9" s="1">
        <f>AVERAGE(O$3:O$6)</f>
        <v>0</v>
      </c>
      <c r="P9" s="1">
        <f>AVERAGE(P$3:P$6)</f>
        <v>0</v>
      </c>
      <c r="Q9" s="1">
        <f>AVERAGE(Q$3:Q$6)</f>
        <v>0</v>
      </c>
      <c r="R9" s="1">
        <f>AVERAGE(R$3:R$6)</f>
        <v>0</v>
      </c>
      <c r="S9" s="1"/>
      <c r="T9" s="1">
        <f>AVERAGE(T$3:T$6)</f>
        <v>0</v>
      </c>
      <c r="U9" s="1">
        <f>AVERAGE(U$3:U$6)</f>
        <v>0</v>
      </c>
      <c r="V9" s="1">
        <f>AVERAGE(V$3:V$6)</f>
        <v>0</v>
      </c>
      <c r="W9" s="1">
        <f>AVERAGE(W$3:W$6)</f>
        <v>0</v>
      </c>
      <c r="X9" s="1"/>
      <c r="Y9" s="1">
        <f>AVERAGE(Y$3:Y$6)</f>
        <v>0</v>
      </c>
      <c r="Z9" s="1">
        <f>AVERAGE(Z$3:Z$6)</f>
        <v>0</v>
      </c>
      <c r="AA9" s="1">
        <f>AVERAGE(AA$3:AA$6)</f>
        <v>0</v>
      </c>
      <c r="AB9" s="1">
        <f>AVERAGE(AB$3:AB$6)</f>
        <v>0</v>
      </c>
      <c r="AC9" s="1"/>
      <c r="AD9" s="1">
        <f>AVERAGE(AD$3:AD$6)</f>
        <v>0</v>
      </c>
      <c r="AE9" s="1">
        <f>AVERAGE(AE$3:AE$6)</f>
        <v>0</v>
      </c>
      <c r="AF9" s="1">
        <f>AVERAGE(AF$3:AF$6)</f>
        <v>0</v>
      </c>
      <c r="AG9" s="1">
        <f>AVERAGE(AG$3:AG$6)</f>
        <v>0</v>
      </c>
      <c r="AH9" s="1">
        <f>AVERAGE(AH$3:AH$6)</f>
        <v>0</v>
      </c>
      <c r="AI9" s="1">
        <f>AVERAGE(AI$3:AI$6)</f>
        <v>0</v>
      </c>
      <c r="AJ9" s="1">
        <f>AVERAGE(AJ$3:AJ$6)</f>
        <v>0</v>
      </c>
      <c r="AK9" s="1">
        <f>AVERAGE(AK$3:AK$6)</f>
        <v>0</v>
      </c>
      <c r="AL9" s="1">
        <f>AVERAGE(AL$3:AL$6)</f>
        <v>0</v>
      </c>
      <c r="AM9" s="1">
        <f>AVERAGE(AM$3:AM$6)</f>
        <v>0</v>
      </c>
      <c r="AN9" s="1">
        <f>AVERAGE(AN$3:AN$6)</f>
        <v>0</v>
      </c>
      <c r="AO9" s="1">
        <f>AVERAGE(AO$3:AO$6)</f>
        <v>0</v>
      </c>
      <c r="AP9" s="1">
        <f>AVERAGE(AP$3:AP$6)</f>
        <v>0</v>
      </c>
      <c r="AQ9" s="1">
        <f>AVERAGE(AQ$3:AQ$6)</f>
        <v>0</v>
      </c>
    </row>
    <row r="10" spans="1:43">
      <c r="A10" s="1" t="s">
        <v>6</v>
      </c>
      <c r="B10" s="1">
        <f>STDEV(B$3:B$6)</f>
        <v>0</v>
      </c>
      <c r="C10" s="1">
        <f>STDEV(C$3:C$6)</f>
        <v>0</v>
      </c>
      <c r="D10" s="1"/>
      <c r="E10" s="1">
        <f>STDEV(E$3:E$6)</f>
        <v>0</v>
      </c>
      <c r="F10" s="1">
        <f>STDEV(F$3:F$6)</f>
        <v>0</v>
      </c>
      <c r="G10" s="1">
        <f>STDEV(G$3:G$6)</f>
        <v>0</v>
      </c>
      <c r="H10" s="1">
        <f>STDEV(H$3:H$6)</f>
        <v>0</v>
      </c>
      <c r="I10" s="1"/>
      <c r="J10" s="1">
        <f>STDEV(J$3:J$6)</f>
        <v>0</v>
      </c>
      <c r="K10" s="1">
        <f>STDEV(K$3:K$6)</f>
        <v>0</v>
      </c>
      <c r="L10" s="1">
        <f>STDEV(L$3:L$6)</f>
        <v>0</v>
      </c>
      <c r="M10" s="1">
        <f>STDEV(M$3:M$6)</f>
        <v>0</v>
      </c>
      <c r="N10" s="1"/>
      <c r="O10" s="1">
        <f>STDEV(O$3:O$6)</f>
        <v>0</v>
      </c>
      <c r="P10" s="1">
        <f>STDEV(P$3:P$6)</f>
        <v>0</v>
      </c>
      <c r="Q10" s="1">
        <f>STDEV(Q$3:Q$6)</f>
        <v>0</v>
      </c>
      <c r="R10" s="1">
        <f>STDEV(R$3:R$6)</f>
        <v>0</v>
      </c>
      <c r="S10" s="1"/>
      <c r="T10" s="1">
        <f>STDEV(T$3:T$6)</f>
        <v>0</v>
      </c>
      <c r="U10" s="1">
        <f>STDEV(U$3:U$6)</f>
        <v>0</v>
      </c>
      <c r="V10" s="1">
        <f>STDEV(V$3:V$6)</f>
        <v>0</v>
      </c>
      <c r="W10" s="1">
        <f>STDEV(W$3:W$6)</f>
        <v>0</v>
      </c>
      <c r="X10" s="1"/>
      <c r="Y10" s="1">
        <f>STDEV(Y$3:Y$6)</f>
        <v>0</v>
      </c>
      <c r="Z10" s="1">
        <f>STDEV(Z$3:Z$6)</f>
        <v>0</v>
      </c>
      <c r="AA10" s="1">
        <f>STDEV(AA$3:AA$6)</f>
        <v>0</v>
      </c>
      <c r="AB10" s="1">
        <f>STDEV(AB$3:AB$6)</f>
        <v>0</v>
      </c>
      <c r="AC10" s="1"/>
      <c r="AD10" s="1">
        <f>STDEV(AD$3:AD$6)</f>
        <v>0</v>
      </c>
      <c r="AE10" s="1">
        <f>STDEV(AE$3:AE$6)</f>
        <v>0</v>
      </c>
      <c r="AF10" s="1">
        <f>STDEV(AF$3:AF$6)</f>
        <v>0</v>
      </c>
      <c r="AG10" s="1">
        <f>STDEV(AG$3:AG$6)</f>
        <v>0</v>
      </c>
      <c r="AH10" s="1">
        <f>STDEV(AH$3:AH$6)</f>
        <v>0</v>
      </c>
      <c r="AI10" s="1">
        <f>STDEV(AI$3:AI$6)</f>
        <v>0</v>
      </c>
      <c r="AJ10" s="1">
        <f>STDEV(AJ$3:AJ$6)</f>
        <v>0</v>
      </c>
      <c r="AK10" s="1">
        <f>STDEV(AK$3:AK$6)</f>
        <v>0</v>
      </c>
      <c r="AL10" s="1">
        <f>STDEV(AL$3:AL$6)</f>
        <v>0</v>
      </c>
      <c r="AM10" s="1">
        <f>STDEV(AM$3:AM$6)</f>
        <v>0</v>
      </c>
      <c r="AN10" s="1">
        <f>STDEV(AN$3:AN$6)</f>
        <v>0</v>
      </c>
      <c r="AO10" s="1">
        <f>STDEV(AO$3:AO$6)</f>
        <v>0</v>
      </c>
      <c r="AP10" s="1">
        <f>STDEV(AP$3:AP$6)</f>
        <v>0</v>
      </c>
      <c r="AQ10" s="1">
        <f>STDEV(AQ$3:AQ$6)</f>
        <v>0</v>
      </c>
    </row>
    <row r="11" spans="1:43">
      <c r="A11" s="1" t="s">
        <v>7</v>
      </c>
      <c r="B11" s="1">
        <f>SUMPRODUCT(--(B$3:B$6-$AF$3:$AF$6)^2)^0.5</f>
        <v>0</v>
      </c>
      <c r="C11" s="1">
        <f>SUMPRODUCT(--(C$3:C$6-$AG$3:$AG$6)^2)^0.5</f>
        <v>0</v>
      </c>
      <c r="D11" s="1"/>
      <c r="E11" s="1">
        <f>SUMPRODUCT(--(E$3:E$6-$AH$3:$AH$6)^2)^0.5</f>
        <v>0</v>
      </c>
      <c r="F11" s="1">
        <f>SUMPRODUCT(--(F$3:F$6-$AI$3:$AI$6)^2)^0.5</f>
        <v>0</v>
      </c>
      <c r="G11" s="1">
        <f>SUMPRODUCT(--(G$3:G$6-$AF$3:$AF$6)^2)^0.5</f>
        <v>0</v>
      </c>
      <c r="H11" s="1">
        <f>SUMPRODUCT(--(H$3:H$6-$AG$3:$AG$6)^2)^0.5</f>
        <v>0</v>
      </c>
      <c r="I11" s="1"/>
      <c r="J11" s="1">
        <f>SUMPRODUCT(--(J$3:J$6-$AH$3:$AH$6)^2)^0.5</f>
        <v>0</v>
      </c>
      <c r="K11" s="1">
        <f>SUMPRODUCT(--(K$3:K$6-$AI$3:$AI$6)^2)^0.5</f>
        <v>0</v>
      </c>
      <c r="L11" s="1">
        <f>SUMPRODUCT(--(L$3:L$6-$AF$3:$AF$6)^2)^0.5</f>
        <v>0</v>
      </c>
      <c r="M11" s="1">
        <f>SUMPRODUCT(--(M$3:M$6-$AG$3:$AG$6)^2)^0.5</f>
        <v>0</v>
      </c>
      <c r="N11" s="1"/>
      <c r="O11" s="1">
        <f>SUMPRODUCT(--(O$3:O$6-$AH$3:$AH$6)^2)^0.5</f>
        <v>0</v>
      </c>
      <c r="P11" s="1">
        <f>SUMPRODUCT(--(P$3:P$6-$AI$3:$AI$6)^2)^0.5</f>
        <v>0</v>
      </c>
      <c r="Q11" s="1">
        <f>SUMPRODUCT(--(Q$3:Q$6-$AF$3:$AF$6)^2)^0.5</f>
        <v>0</v>
      </c>
      <c r="R11" s="1">
        <f>SUMPRODUCT(--(R$3:R$6-$AG$3:$AG$6)^2)^0.5</f>
        <v>0</v>
      </c>
      <c r="S11" s="1"/>
      <c r="T11" s="1">
        <f>SUMPRODUCT(--(T$3:T$6-$AH$3:$AH$6)^2)^0.5</f>
        <v>0</v>
      </c>
      <c r="U11" s="1">
        <f>SUMPRODUCT(--(U$3:U$6-$AI$3:$AI$6)^2)^0.5</f>
        <v>0</v>
      </c>
      <c r="V11" s="1">
        <f>SUMPRODUCT(--(V$3:V$6-$AF$3:$AF$6)^2)^0.5</f>
        <v>0</v>
      </c>
      <c r="W11" s="1">
        <f>SUMPRODUCT(--(W$3:W$6-$AG$3:$AG$6)^2)^0.5</f>
        <v>0</v>
      </c>
      <c r="X11" s="1"/>
      <c r="Y11" s="1">
        <f>SUMPRODUCT(--(Y$3:Y$6-$AH$3:$AH$6)^2)^0.5</f>
        <v>0</v>
      </c>
      <c r="Z11" s="1">
        <f>SUMPRODUCT(--(Z$3:Z$6-$AI$3:$AI$6)^2)^0.5</f>
        <v>0</v>
      </c>
      <c r="AA11" s="1">
        <f>SUMPRODUCT(--(AA$3:AA$6-$AF$3:$AF$6)^2)^0.5</f>
        <v>0</v>
      </c>
      <c r="AB11" s="1">
        <f>SUMPRODUCT(--(AB$3:AB$6-$AG$3:$AG$6)^2)^0.5</f>
        <v>0</v>
      </c>
      <c r="AC11" s="1"/>
      <c r="AD11" s="1">
        <f>SUMPRODUCT(--(AD$3:AD$6-$AH$3:$AH$6)^2)^0.5</f>
        <v>0</v>
      </c>
      <c r="AE11" s="1">
        <f>SUMPRODUCT(--(AE$3:AE$6-$AI$3:$AI$6)^2)^0.5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" t="s">
        <v>8</v>
      </c>
      <c r="B12" s="1">
        <f>SUMPRODUCT(NOT(ISBLANK(B$3:B$6))*(B$3:B$6=$AF$3:$AF$6))</f>
        <v>0</v>
      </c>
      <c r="C12" s="1">
        <f>SUMPRODUCT(NOT(ISBLANK(C$3:C$6))*(C$3:C$6=$AG$3:$AG$6))</f>
        <v>0</v>
      </c>
      <c r="D12" s="1"/>
      <c r="E12" s="1">
        <f>SUMPRODUCT(NOT(ISBLANK(E$3:E$6))*(E$3:E$6=$AH$3:$AH$6))</f>
        <v>0</v>
      </c>
      <c r="F12" s="1">
        <f>SUMPRODUCT(NOT(ISBLANK(F$3:F$6))*(F$3:F$6=$AI$3:$AI$6))</f>
        <v>0</v>
      </c>
      <c r="G12" s="1">
        <f>SUMPRODUCT(NOT(ISBLANK(G$3:G$6))*(G$3:G$6=$AF$3:$AF$6))</f>
        <v>0</v>
      </c>
      <c r="H12" s="1">
        <f>SUMPRODUCT(NOT(ISBLANK(H$3:H$6))*(H$3:H$6=$AG$3:$AG$6))</f>
        <v>0</v>
      </c>
      <c r="I12" s="1"/>
      <c r="J12" s="1">
        <f>SUMPRODUCT(NOT(ISBLANK(J$3:J$6))*(J$3:J$6=$AH$3:$AH$6))</f>
        <v>0</v>
      </c>
      <c r="K12" s="1">
        <f>SUMPRODUCT(NOT(ISBLANK(K$3:K$6))*(K$3:K$6=$AI$3:$AI$6))</f>
        <v>0</v>
      </c>
      <c r="L12" s="1">
        <f>SUMPRODUCT(NOT(ISBLANK(L$3:L$6))*(L$3:L$6=$AF$3:$AF$6))</f>
        <v>0</v>
      </c>
      <c r="M12" s="1">
        <f>SUMPRODUCT(NOT(ISBLANK(M$3:M$6))*(M$3:M$6=$AG$3:$AG$6))</f>
        <v>0</v>
      </c>
      <c r="N12" s="1"/>
      <c r="O12" s="1">
        <f>SUMPRODUCT(NOT(ISBLANK(O$3:O$6))*(O$3:O$6=$AH$3:$AH$6))</f>
        <v>0</v>
      </c>
      <c r="P12" s="1">
        <f>SUMPRODUCT(NOT(ISBLANK(P$3:P$6))*(P$3:P$6=$AI$3:$AI$6))</f>
        <v>0</v>
      </c>
      <c r="Q12" s="1">
        <f>SUMPRODUCT(NOT(ISBLANK(Q$3:Q$6))*(Q$3:Q$6=$AF$3:$AF$6))</f>
        <v>0</v>
      </c>
      <c r="R12" s="1">
        <f>SUMPRODUCT(NOT(ISBLANK(R$3:R$6))*(R$3:R$6=$AG$3:$AG$6))</f>
        <v>0</v>
      </c>
      <c r="S12" s="1"/>
      <c r="T12" s="1">
        <f>SUMPRODUCT(NOT(ISBLANK(T$3:T$6))*(T$3:T$6=$AH$3:$AH$6))</f>
        <v>0</v>
      </c>
      <c r="U12" s="1">
        <f>SUMPRODUCT(NOT(ISBLANK(U$3:U$6))*(U$3:U$6=$AI$3:$AI$6))</f>
        <v>0</v>
      </c>
      <c r="V12" s="1">
        <f>SUMPRODUCT(NOT(ISBLANK(V$3:V$6))*(V$3:V$6=$AF$3:$AF$6))</f>
        <v>0</v>
      </c>
      <c r="W12" s="1">
        <f>SUMPRODUCT(NOT(ISBLANK(W$3:W$6))*(W$3:W$6=$AG$3:$AG$6))</f>
        <v>0</v>
      </c>
      <c r="X12" s="1"/>
      <c r="Y12" s="1">
        <f>SUMPRODUCT(NOT(ISBLANK(Y$3:Y$6))*(Y$3:Y$6=$AH$3:$AH$6))</f>
        <v>0</v>
      </c>
      <c r="Z12" s="1">
        <f>SUMPRODUCT(NOT(ISBLANK(Z$3:Z$6))*(Z$3:Z$6=$AI$3:$AI$6))</f>
        <v>0</v>
      </c>
      <c r="AA12" s="1">
        <f>SUMPRODUCT(NOT(ISBLANK(AA$3:AA$6))*(AA$3:AA$6=$AF$3:$AF$6))</f>
        <v>0</v>
      </c>
      <c r="AB12" s="1">
        <f>SUMPRODUCT(NOT(ISBLANK(AB$3:AB$6))*(AB$3:AB$6=$AG$3:$AG$6))</f>
        <v>0</v>
      </c>
      <c r="AC12" s="1"/>
      <c r="AD12" s="1">
        <f>SUMPRODUCT(NOT(ISBLANK(AD$3:AD$6))*(AD$3:AD$6=$AH$3:$AH$6))</f>
        <v>0</v>
      </c>
      <c r="AE12" s="1">
        <f>SUMPRODUCT(NOT(ISBLANK(AE$3:AE$6))*(AE$3:AE$6=$AI$3:$AI$6))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>
      <c r="A13" s="1" t="s">
        <v>9</v>
      </c>
      <c r="B13" s="1">
        <f>SUMPRODUCT(NOT(ISBLANK(B$3:B$6))*(B$3:B$6&lt;$AJ$3:$AJ$6))</f>
        <v>0</v>
      </c>
      <c r="C13" s="1">
        <f>SUMPRODUCT(NOT(ISBLANK(C$3:C$6))*(C$3:C$6&lt;$AK$3:$AK$6))</f>
        <v>0</v>
      </c>
      <c r="D13" s="1"/>
      <c r="E13" s="1">
        <f>SUMPRODUCT(NOT(ISBLANK(E$3:E$6))*(E$3:E$6&lt;$AL$3:$AL$6))</f>
        <v>0</v>
      </c>
      <c r="F13" s="1">
        <f>SUMPRODUCT(NOT(ISBLANK(F$3:F$6))*(F$3:F$6&lt;$AM$3:$AM$6))</f>
        <v>0</v>
      </c>
      <c r="G13" s="1">
        <f>SUMPRODUCT(NOT(ISBLANK(G$3:G$6))*(G$3:G$6&lt;$AJ$3:$AJ$6))</f>
        <v>0</v>
      </c>
      <c r="H13" s="1">
        <f>SUMPRODUCT(NOT(ISBLANK(H$3:H$6))*(H$3:H$6&lt;$AK$3:$AK$6))</f>
        <v>0</v>
      </c>
      <c r="I13" s="1"/>
      <c r="J13" s="1">
        <f>SUMPRODUCT(NOT(ISBLANK(J$3:J$6))*(J$3:J$6&lt;$AL$3:$AL$6))</f>
        <v>0</v>
      </c>
      <c r="K13" s="1">
        <f>SUMPRODUCT(NOT(ISBLANK(K$3:K$6))*(K$3:K$6&lt;$AM$3:$AM$6))</f>
        <v>0</v>
      </c>
      <c r="L13" s="1">
        <f>SUMPRODUCT(NOT(ISBLANK(L$3:L$6))*(L$3:L$6&lt;$AJ$3:$AJ$6))</f>
        <v>0</v>
      </c>
      <c r="M13" s="1">
        <f>SUMPRODUCT(NOT(ISBLANK(M$3:M$6))*(M$3:M$6&lt;$AK$3:$AK$6))</f>
        <v>0</v>
      </c>
      <c r="N13" s="1"/>
      <c r="O13" s="1">
        <f>SUMPRODUCT(NOT(ISBLANK(O$3:O$6))*(O$3:O$6&lt;$AL$3:$AL$6))</f>
        <v>0</v>
      </c>
      <c r="P13" s="1">
        <f>SUMPRODUCT(NOT(ISBLANK(P$3:P$6))*(P$3:P$6&lt;$AM$3:$AM$6))</f>
        <v>0</v>
      </c>
      <c r="Q13" s="1">
        <f>SUMPRODUCT(NOT(ISBLANK(Q$3:Q$6))*(Q$3:Q$6&lt;$AJ$3:$AJ$6))</f>
        <v>0</v>
      </c>
      <c r="R13" s="1">
        <f>SUMPRODUCT(NOT(ISBLANK(R$3:R$6))*(R$3:R$6&lt;$AK$3:$AK$6))</f>
        <v>0</v>
      </c>
      <c r="S13" s="1"/>
      <c r="T13" s="1">
        <f>SUMPRODUCT(NOT(ISBLANK(T$3:T$6))*(T$3:T$6&lt;$AL$3:$AL$6))</f>
        <v>0</v>
      </c>
      <c r="U13" s="1">
        <f>SUMPRODUCT(NOT(ISBLANK(U$3:U$6))*(U$3:U$6&lt;$AM$3:$AM$6))</f>
        <v>0</v>
      </c>
      <c r="V13" s="1">
        <f>SUMPRODUCT(NOT(ISBLANK(V$3:V$6))*(V$3:V$6&lt;$AJ$3:$AJ$6))</f>
        <v>0</v>
      </c>
      <c r="W13" s="1">
        <f>SUMPRODUCT(NOT(ISBLANK(W$3:W$6))*(W$3:W$6&lt;$AK$3:$AK$6))</f>
        <v>0</v>
      </c>
      <c r="X13" s="1"/>
      <c r="Y13" s="1">
        <f>SUMPRODUCT(NOT(ISBLANK(Y$3:Y$6))*(Y$3:Y$6&lt;$AL$3:$AL$6))</f>
        <v>0</v>
      </c>
      <c r="Z13" s="1">
        <f>SUMPRODUCT(NOT(ISBLANK(Z$3:Z$6))*(Z$3:Z$6&lt;$AM$3:$AM$6))</f>
        <v>0</v>
      </c>
      <c r="AA13" s="1">
        <f>SUMPRODUCT(NOT(ISBLANK(AA$3:AA$6))*(AA$3:AA$6&lt;$AJ$3:$AJ$6))</f>
        <v>0</v>
      </c>
      <c r="AB13" s="1">
        <f>SUMPRODUCT(NOT(ISBLANK(AB$3:AB$6))*(AB$3:AB$6&lt;$AK$3:$AK$6))</f>
        <v>0</v>
      </c>
      <c r="AC13" s="1"/>
      <c r="AD13" s="1">
        <f>SUMPRODUCT(NOT(ISBLANK(AD$3:AD$6))*(AD$3:AD$6&lt;$AL$3:$AL$6))</f>
        <v>0</v>
      </c>
      <c r="AE13" s="1">
        <f>SUMPRODUCT(NOT(ISBLANK(AE$3:AE$6))*(AE$3:AE$6&lt;$AM$3:$AM$6))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1" t="s">
        <v>10</v>
      </c>
      <c r="B14" s="1">
        <f>SUMPRODUCT((NOT(ISBLANK(B$3:B$6))*(B$3:B$6&gt;$AJ$3:$AJ$6))+ISBLANK(B$3:B$6))</f>
        <v>0</v>
      </c>
      <c r="C14" s="1">
        <f>SUMPRODUCT((NOT(ISBLANK(C$3:C$6))*(C$3:C$6&gt;$AK$3:$AK$6))+ISBLANK(C$3:C$6))</f>
        <v>0</v>
      </c>
      <c r="D14" s="1"/>
      <c r="E14" s="1">
        <f>SUMPRODUCT((NOT(ISBLANK(E$3:E$6))*(E$3:E$6&gt;$AL$3:$AL$6))+ISBLANK(E$3:E$6))</f>
        <v>0</v>
      </c>
      <c r="F14" s="1">
        <f>SUMPRODUCT((NOT(ISBLANK(F$3:F$6))*(F$3:F$6&gt;$AM$3:$AM$6))+ISBLANK(F$3:F$6))</f>
        <v>0</v>
      </c>
      <c r="G14" s="1">
        <f>SUMPRODUCT((NOT(ISBLANK(G$3:G$6))*(G$3:G$6&gt;$AJ$3:$AJ$6))+ISBLANK(G$3:G$6))</f>
        <v>0</v>
      </c>
      <c r="H14" s="1">
        <f>SUMPRODUCT((NOT(ISBLANK(H$3:H$6))*(H$3:H$6&gt;$AK$3:$AK$6))+ISBLANK(H$3:H$6))</f>
        <v>0</v>
      </c>
      <c r="I14" s="1"/>
      <c r="J14" s="1">
        <f>SUMPRODUCT((NOT(ISBLANK(J$3:J$6))*(J$3:J$6&gt;$AL$3:$AL$6))+ISBLANK(J$3:J$6))</f>
        <v>0</v>
      </c>
      <c r="K14" s="1">
        <f>SUMPRODUCT((NOT(ISBLANK(K$3:K$6))*(K$3:K$6&gt;$AM$3:$AM$6))+ISBLANK(K$3:K$6))</f>
        <v>0</v>
      </c>
      <c r="L14" s="1">
        <f>SUMPRODUCT((NOT(ISBLANK(L$3:L$6))*(L$3:L$6&gt;$AJ$3:$AJ$6))+ISBLANK(L$3:L$6))</f>
        <v>0</v>
      </c>
      <c r="M14" s="1">
        <f>SUMPRODUCT((NOT(ISBLANK(M$3:M$6))*(M$3:M$6&gt;$AK$3:$AK$6))+ISBLANK(M$3:M$6))</f>
        <v>0</v>
      </c>
      <c r="N14" s="1"/>
      <c r="O14" s="1">
        <f>SUMPRODUCT((NOT(ISBLANK(O$3:O$6))*(O$3:O$6&gt;$AL$3:$AL$6))+ISBLANK(O$3:O$6))</f>
        <v>0</v>
      </c>
      <c r="P14" s="1">
        <f>SUMPRODUCT((NOT(ISBLANK(P$3:P$6))*(P$3:P$6&gt;$AM$3:$AM$6))+ISBLANK(P$3:P$6))</f>
        <v>0</v>
      </c>
      <c r="Q14" s="1">
        <f>SUMPRODUCT((NOT(ISBLANK(Q$3:Q$6))*(Q$3:Q$6&gt;$AJ$3:$AJ$6))+ISBLANK(Q$3:Q$6))</f>
        <v>0</v>
      </c>
      <c r="R14" s="1">
        <f>SUMPRODUCT((NOT(ISBLANK(R$3:R$6))*(R$3:R$6&gt;$AK$3:$AK$6))+ISBLANK(R$3:R$6))</f>
        <v>0</v>
      </c>
      <c r="S14" s="1"/>
      <c r="T14" s="1">
        <f>SUMPRODUCT((NOT(ISBLANK(T$3:T$6))*(T$3:T$6&gt;$AL$3:$AL$6))+ISBLANK(T$3:T$6))</f>
        <v>0</v>
      </c>
      <c r="U14" s="1">
        <f>SUMPRODUCT((NOT(ISBLANK(U$3:U$6))*(U$3:U$6&gt;$AM$3:$AM$6))+ISBLANK(U$3:U$6))</f>
        <v>0</v>
      </c>
      <c r="V14" s="1">
        <f>SUMPRODUCT((NOT(ISBLANK(V$3:V$6))*(V$3:V$6&gt;$AJ$3:$AJ$6))+ISBLANK(V$3:V$6))</f>
        <v>0</v>
      </c>
      <c r="W14" s="1">
        <f>SUMPRODUCT((NOT(ISBLANK(W$3:W$6))*(W$3:W$6&gt;$AK$3:$AK$6))+ISBLANK(W$3:W$6))</f>
        <v>0</v>
      </c>
      <c r="X14" s="1"/>
      <c r="Y14" s="1">
        <f>SUMPRODUCT((NOT(ISBLANK(Y$3:Y$6))*(Y$3:Y$6&gt;$AL$3:$AL$6))+ISBLANK(Y$3:Y$6))</f>
        <v>0</v>
      </c>
      <c r="Z14" s="1">
        <f>SUMPRODUCT((NOT(ISBLANK(Z$3:Z$6))*(Z$3:Z$6&gt;$AM$3:$AM$6))+ISBLANK(Z$3:Z$6))</f>
        <v>0</v>
      </c>
      <c r="AA14" s="1">
        <f>SUMPRODUCT((NOT(ISBLANK(AA$3:AA$6))*(AA$3:AA$6&gt;$AJ$3:$AJ$6))+ISBLANK(AA$3:AA$6))</f>
        <v>0</v>
      </c>
      <c r="AB14" s="1">
        <f>SUMPRODUCT((NOT(ISBLANK(AB$3:AB$6))*(AB$3:AB$6&gt;$AK$3:$AK$6))+ISBLANK(AB$3:AB$6))</f>
        <v>0</v>
      </c>
      <c r="AC14" s="1"/>
      <c r="AD14" s="1">
        <f>SUMPRODUCT((NOT(ISBLANK(AD$3:AD$6))*(AD$3:AD$6&gt;$AL$3:$AL$6))+ISBLANK(AD$3:AD$6))</f>
        <v>0</v>
      </c>
      <c r="AE14" s="1">
        <f>SUMPRODUCT((NOT(ISBLANK(AE$3:AE$6))*(AE$3:AE$6&gt;$AM$3:$AM$6))+ISBLANK(AE$3:AE$6))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>
      <c r="A15" s="1" t="s">
        <v>11</v>
      </c>
      <c r="B15" s="1">
        <f>SUMPRODUCT((NOT(ISBLANK(B$3:B$6))*(B$3:B$6=$AN$3:$AN$6))+ISBLANK(B$3:B$6))</f>
        <v>0</v>
      </c>
      <c r="C15" s="1">
        <f>SUMPRODUCT((NOT(ISBLANK(C$3:C$6))*(C$3:C$6=$AO$3:$AO$6))+ISBLANK(C$3:C$6))</f>
        <v>0</v>
      </c>
      <c r="D15" s="1"/>
      <c r="E15" s="1">
        <f>SUMPRODUCT((NOT(ISBLANK(E$3:E$6))*(E$3:E$6=$AP$3:$AP$6))+ISBLANK(E$3:E$6))</f>
        <v>0</v>
      </c>
      <c r="F15" s="1">
        <f>SUMPRODUCT((NOT(ISBLANK(F$3:F$6))*(F$3:F$6=$AQ$3:$AQ$6))+ISBLANK(F$3:F$6))</f>
        <v>0</v>
      </c>
      <c r="G15" s="1">
        <f>SUMPRODUCT((NOT(ISBLANK(G$3:G$6))*(G$3:G$6=$AN$3:$AN$6))+ISBLANK(G$3:G$6))</f>
        <v>0</v>
      </c>
      <c r="H15" s="1">
        <f>SUMPRODUCT((NOT(ISBLANK(H$3:H$6))*(H$3:H$6=$AO$3:$AO$6))+ISBLANK(H$3:H$6))</f>
        <v>0</v>
      </c>
      <c r="I15" s="1"/>
      <c r="J15" s="1">
        <f>SUMPRODUCT((NOT(ISBLANK(J$3:J$6))*(J$3:J$6=$AP$3:$AP$6))+ISBLANK(J$3:J$6))</f>
        <v>0</v>
      </c>
      <c r="K15" s="1">
        <f>SUMPRODUCT((NOT(ISBLANK(K$3:K$6))*(K$3:K$6=$AQ$3:$AQ$6))+ISBLANK(K$3:K$6))</f>
        <v>0</v>
      </c>
      <c r="L15" s="1">
        <f>SUMPRODUCT((NOT(ISBLANK(L$3:L$6))*(L$3:L$6=$AN$3:$AN$6))+ISBLANK(L$3:L$6))</f>
        <v>0</v>
      </c>
      <c r="M15" s="1">
        <f>SUMPRODUCT((NOT(ISBLANK(M$3:M$6))*(M$3:M$6=$AO$3:$AO$6))+ISBLANK(M$3:M$6))</f>
        <v>0</v>
      </c>
      <c r="N15" s="1"/>
      <c r="O15" s="1">
        <f>SUMPRODUCT((NOT(ISBLANK(O$3:O$6))*(O$3:O$6=$AP$3:$AP$6))+ISBLANK(O$3:O$6))</f>
        <v>0</v>
      </c>
      <c r="P15" s="1">
        <f>SUMPRODUCT((NOT(ISBLANK(P$3:P$6))*(P$3:P$6=$AQ$3:$AQ$6))+ISBLANK(P$3:P$6))</f>
        <v>0</v>
      </c>
      <c r="Q15" s="1">
        <f>SUMPRODUCT((NOT(ISBLANK(Q$3:Q$6))*(Q$3:Q$6=$AN$3:$AN$6))+ISBLANK(Q$3:Q$6))</f>
        <v>0</v>
      </c>
      <c r="R15" s="1">
        <f>SUMPRODUCT((NOT(ISBLANK(R$3:R$6))*(R$3:R$6=$AO$3:$AO$6))+ISBLANK(R$3:R$6))</f>
        <v>0</v>
      </c>
      <c r="S15" s="1"/>
      <c r="T15" s="1">
        <f>SUMPRODUCT((NOT(ISBLANK(T$3:T$6))*(T$3:T$6=$AP$3:$AP$6))+ISBLANK(T$3:T$6))</f>
        <v>0</v>
      </c>
      <c r="U15" s="1">
        <f>SUMPRODUCT((NOT(ISBLANK(U$3:U$6))*(U$3:U$6=$AQ$3:$AQ$6))+ISBLANK(U$3:U$6))</f>
        <v>0</v>
      </c>
      <c r="V15" s="1">
        <f>SUMPRODUCT((NOT(ISBLANK(V$3:V$6))*(V$3:V$6=$AN$3:$AN$6))+ISBLANK(V$3:V$6))</f>
        <v>0</v>
      </c>
      <c r="W15" s="1">
        <f>SUMPRODUCT((NOT(ISBLANK(W$3:W$6))*(W$3:W$6=$AO$3:$AO$6))+ISBLANK(W$3:W$6))</f>
        <v>0</v>
      </c>
      <c r="X15" s="1"/>
      <c r="Y15" s="1">
        <f>SUMPRODUCT((NOT(ISBLANK(Y$3:Y$6))*(Y$3:Y$6=$AP$3:$AP$6))+ISBLANK(Y$3:Y$6))</f>
        <v>0</v>
      </c>
      <c r="Z15" s="1">
        <f>SUMPRODUCT((NOT(ISBLANK(Z$3:Z$6))*(Z$3:Z$6=$AQ$3:$AQ$6))+ISBLANK(Z$3:Z$6))</f>
        <v>0</v>
      </c>
      <c r="AA15" s="1">
        <f>SUMPRODUCT((NOT(ISBLANK(AA$3:AA$6))*(AA$3:AA$6=$AN$3:$AN$6))+ISBLANK(AA$3:AA$6))</f>
        <v>0</v>
      </c>
      <c r="AB15" s="1">
        <f>SUMPRODUCT((NOT(ISBLANK(AB$3:AB$6))*(AB$3:AB$6=$AO$3:$AO$6))+ISBLANK(AB$3:AB$6))</f>
        <v>0</v>
      </c>
      <c r="AC15" s="1"/>
      <c r="AD15" s="1">
        <f>SUMPRODUCT((NOT(ISBLANK(AD$3:AD$6))*(AD$3:AD$6=$AP$3:$AP$6))+ISBLANK(AD$3:AD$6))</f>
        <v>0</v>
      </c>
      <c r="AE15" s="1">
        <f>SUMPRODUCT((NOT(ISBLANK(AE$3:AE$6))*(AE$3:AE$6=$AQ$3:$AQ$6))+ISBLANK(AE$3:AE$6))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3" width="11.42578125" customWidth="1"/>
  </cols>
  <sheetData>
    <row r="1" spans="1:43">
      <c r="A1" s="1"/>
      <c r="B1" s="1" t="s">
        <v>12</v>
      </c>
      <c r="C1" s="1"/>
      <c r="D1" s="1"/>
      <c r="E1" s="1"/>
      <c r="F1" s="1"/>
      <c r="G1" s="1" t="s">
        <v>20</v>
      </c>
      <c r="H1" s="1"/>
      <c r="I1" s="1"/>
      <c r="J1" s="1"/>
      <c r="K1" s="1"/>
      <c r="L1" s="1" t="s">
        <v>21</v>
      </c>
      <c r="M1" s="1"/>
      <c r="N1" s="1"/>
      <c r="O1" s="1"/>
      <c r="P1" s="1"/>
      <c r="Q1" s="1" t="s">
        <v>22</v>
      </c>
      <c r="R1" s="1"/>
      <c r="S1" s="1"/>
      <c r="T1" s="1"/>
      <c r="U1" s="1"/>
      <c r="V1" s="1" t="s">
        <v>23</v>
      </c>
      <c r="W1" s="1"/>
      <c r="X1" s="1"/>
      <c r="Y1" s="1"/>
      <c r="Z1" s="1"/>
      <c r="AA1" s="1" t="s">
        <v>24</v>
      </c>
      <c r="AB1" s="1"/>
      <c r="AC1" s="1"/>
      <c r="AD1" s="1"/>
      <c r="AE1" s="1"/>
      <c r="AF1" s="1" t="s">
        <v>25</v>
      </c>
      <c r="AG1" s="1"/>
      <c r="AH1" s="1"/>
      <c r="AI1" s="1"/>
      <c r="AJ1" s="1" t="s">
        <v>26</v>
      </c>
      <c r="AK1" s="1"/>
      <c r="AL1" s="1"/>
      <c r="AM1" s="1"/>
      <c r="AN1" s="1" t="s">
        <v>27</v>
      </c>
      <c r="AO1" s="1"/>
      <c r="AP1" s="1"/>
      <c r="AQ1" s="1"/>
    </row>
    <row r="2" spans="1:43">
      <c r="A2" s="1"/>
      <c r="B2" s="1" t="s">
        <v>13</v>
      </c>
      <c r="C2" s="1" t="s">
        <v>14</v>
      </c>
      <c r="D2" s="1" t="s">
        <v>15</v>
      </c>
      <c r="E2" s="1" t="s">
        <v>18</v>
      </c>
      <c r="F2" s="1" t="s">
        <v>19</v>
      </c>
      <c r="G2" s="1" t="s">
        <v>13</v>
      </c>
      <c r="H2" s="1" t="s">
        <v>14</v>
      </c>
      <c r="I2" s="1" t="s">
        <v>15</v>
      </c>
      <c r="J2" s="1" t="s">
        <v>18</v>
      </c>
      <c r="K2" s="1" t="s">
        <v>19</v>
      </c>
      <c r="L2" s="1" t="s">
        <v>13</v>
      </c>
      <c r="M2" s="1" t="s">
        <v>14</v>
      </c>
      <c r="N2" s="1" t="s">
        <v>15</v>
      </c>
      <c r="O2" s="1" t="s">
        <v>18</v>
      </c>
      <c r="P2" s="1" t="s">
        <v>19</v>
      </c>
      <c r="Q2" s="1" t="s">
        <v>13</v>
      </c>
      <c r="R2" s="1" t="s">
        <v>14</v>
      </c>
      <c r="S2" s="1" t="s">
        <v>15</v>
      </c>
      <c r="T2" s="1" t="s">
        <v>18</v>
      </c>
      <c r="U2" s="1" t="s">
        <v>19</v>
      </c>
      <c r="V2" s="1" t="s">
        <v>13</v>
      </c>
      <c r="W2" s="1" t="s">
        <v>14</v>
      </c>
      <c r="X2" s="1" t="s">
        <v>15</v>
      </c>
      <c r="Y2" s="1" t="s">
        <v>18</v>
      </c>
      <c r="Z2" s="1" t="s">
        <v>19</v>
      </c>
      <c r="AA2" s="1" t="s">
        <v>13</v>
      </c>
      <c r="AB2" s="1" t="s">
        <v>14</v>
      </c>
      <c r="AC2" s="1" t="s">
        <v>15</v>
      </c>
      <c r="AD2" s="1" t="s">
        <v>18</v>
      </c>
      <c r="AE2" s="1" t="s">
        <v>19</v>
      </c>
      <c r="AF2" s="1" t="s">
        <v>13</v>
      </c>
      <c r="AG2" s="1" t="s">
        <v>14</v>
      </c>
      <c r="AH2" s="1" t="s">
        <v>18</v>
      </c>
      <c r="AI2" s="1" t="s">
        <v>19</v>
      </c>
      <c r="AJ2" s="1" t="s">
        <v>13</v>
      </c>
      <c r="AK2" s="1" t="s">
        <v>14</v>
      </c>
      <c r="AL2" s="1" t="s">
        <v>18</v>
      </c>
      <c r="AM2" s="1" t="s">
        <v>19</v>
      </c>
      <c r="AN2" s="1" t="s">
        <v>13</v>
      </c>
      <c r="AO2" s="1" t="s">
        <v>14</v>
      </c>
      <c r="AP2" s="1" t="s">
        <v>18</v>
      </c>
      <c r="AQ2" s="1" t="s">
        <v>19</v>
      </c>
    </row>
    <row r="3" spans="1:43">
      <c r="A3" s="1" t="s">
        <v>29</v>
      </c>
      <c r="B3" s="1">
        <f>AVERAGE(Instances!B3:Instances!B6)</f>
        <v>0</v>
      </c>
      <c r="C3" s="1">
        <f>AVERAGE(Instances!C3:Instances!C6)</f>
        <v>0</v>
      </c>
      <c r="D3" s="1"/>
      <c r="E3" s="1">
        <f>AVERAGE(Instances!E3:Instances!E6)</f>
        <v>0</v>
      </c>
      <c r="F3" s="1">
        <f>AVERAGE(Instances!F3:Instances!F6)</f>
        <v>0</v>
      </c>
      <c r="G3" s="1">
        <f>AVERAGE(Instances!G3:Instances!G6)</f>
        <v>0</v>
      </c>
      <c r="H3" s="1">
        <f>AVERAGE(Instances!H3:Instances!H6)</f>
        <v>0</v>
      </c>
      <c r="I3" s="1"/>
      <c r="J3" s="1">
        <f>AVERAGE(Instances!J3:Instances!J6)</f>
        <v>0</v>
      </c>
      <c r="K3" s="1">
        <f>AVERAGE(Instances!K3:Instances!K6)</f>
        <v>0</v>
      </c>
      <c r="L3" s="1">
        <f>AVERAGE(Instances!L3:Instances!L6)</f>
        <v>0</v>
      </c>
      <c r="M3" s="1">
        <f>AVERAGE(Instances!M3:Instances!M6)</f>
        <v>0</v>
      </c>
      <c r="N3" s="1"/>
      <c r="O3" s="1">
        <f>AVERAGE(Instances!O3:Instances!O6)</f>
        <v>0</v>
      </c>
      <c r="P3" s="1">
        <f>AVERAGE(Instances!P3:Instances!P6)</f>
        <v>0</v>
      </c>
      <c r="Q3" s="1">
        <f>AVERAGE(Instances!Q3:Instances!Q6)</f>
        <v>0</v>
      </c>
      <c r="R3" s="1">
        <f>AVERAGE(Instances!R3:Instances!R6)</f>
        <v>0</v>
      </c>
      <c r="S3" s="1"/>
      <c r="T3" s="1">
        <f>AVERAGE(Instances!T3:Instances!T6)</f>
        <v>0</v>
      </c>
      <c r="U3" s="1">
        <f>AVERAGE(Instances!U3:Instances!U6)</f>
        <v>0</v>
      </c>
      <c r="V3" s="1">
        <f>AVERAGE(Instances!V3:Instances!V6)</f>
        <v>0</v>
      </c>
      <c r="W3" s="1">
        <f>AVERAGE(Instances!W3:Instances!W6)</f>
        <v>0</v>
      </c>
      <c r="X3" s="1"/>
      <c r="Y3" s="1">
        <f>AVERAGE(Instances!Y3:Instances!Y6)</f>
        <v>0</v>
      </c>
      <c r="Z3" s="1">
        <f>AVERAGE(Instances!Z3:Instances!Z6)</f>
        <v>0</v>
      </c>
      <c r="AA3" s="1">
        <f>AVERAGE(Instances!AA3:Instances!AA6)</f>
        <v>0</v>
      </c>
      <c r="AB3" s="1">
        <f>AVERAGE(Instances!AB3:Instances!AB6)</f>
        <v>0</v>
      </c>
      <c r="AC3" s="1"/>
      <c r="AD3" s="1">
        <f>AVERAGE(Instances!AD3:Instances!AD6)</f>
        <v>0</v>
      </c>
      <c r="AE3" s="1">
        <f>AVERAGE(Instances!AE3:Instances!AE6)</f>
        <v>0</v>
      </c>
      <c r="AF3" s="1">
        <f>MIN($B3,$G3,$L3,$Q3,$V3,$AA3)</f>
        <v>0</v>
      </c>
      <c r="AG3" s="1">
        <f>MIN($C3,$H3,$M3,$R3,$W3,$AB3)</f>
        <v>0</v>
      </c>
      <c r="AH3" s="1">
        <f>MIN($E3,$J3,$O3,$T3,$Y3,$AD3)</f>
        <v>0</v>
      </c>
      <c r="AI3" s="1">
        <f>MIN($F3,$K3,$P3,$U3,$Z3,$AE3)</f>
        <v>0</v>
      </c>
      <c r="AJ3" s="1">
        <f>MEDIAN($B3,$G3,$L3,$Q3,$V3,$AA3)</f>
        <v>0</v>
      </c>
      <c r="AK3" s="1">
        <f>MEDIAN($C3,$H3,$M3,$R3,$W3,$AB3)</f>
        <v>0</v>
      </c>
      <c r="AL3" s="1">
        <f>MEDIAN($E3,$J3,$O3,$T3,$Y3,$AD3)</f>
        <v>0</v>
      </c>
      <c r="AM3" s="1">
        <f>MEDIAN($F3,$K3,$P3,$U3,$Z3,$AE3)</f>
        <v>0</v>
      </c>
      <c r="AN3" s="1">
        <f>MAX($B3,$G3,$L3,$Q3,$V3,$AA3)</f>
        <v>0</v>
      </c>
      <c r="AO3" s="1">
        <f>MAX($C3,$H3,$M3,$R3,$W3,$AB3)</f>
        <v>0</v>
      </c>
      <c r="AP3" s="1">
        <f>MAX($E3,$J3,$O3,$T3,$Y3,$AD3)</f>
        <v>0</v>
      </c>
      <c r="AQ3" s="1">
        <f>MAX($F3,$K3,$P3,$U3,$Z3,$AE3)</f>
        <v>0</v>
      </c>
    </row>
    <row r="4" spans="1:4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>
      <c r="A5" s="1" t="s">
        <v>4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/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/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</row>
    <row r="6" spans="1:43">
      <c r="A6" s="1" t="s">
        <v>5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/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/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</row>
    <row r="7" spans="1:43">
      <c r="A7" s="1" t="s">
        <v>6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/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/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</row>
    <row r="8" spans="1:43">
      <c r="A8" s="1" t="s">
        <v>7</v>
      </c>
      <c r="B8" s="1">
        <f>SUMPRODUCT(--(B$3:B$3-$AF$3:$AF$3)^2)^0.5</f>
        <v>0</v>
      </c>
      <c r="C8" s="1">
        <f>SUMPRODUCT(--(C$3:C$3-$AG$3:$AG$3)^2)^0.5</f>
        <v>0</v>
      </c>
      <c r="D8" s="1"/>
      <c r="E8" s="1">
        <f>SUMPRODUCT(--(E$3:E$3-$AH$3:$AH$3)^2)^0.5</f>
        <v>0</v>
      </c>
      <c r="F8" s="1">
        <f>SUMPRODUCT(--(F$3:F$3-$AI$3:$AI$3)^2)^0.5</f>
        <v>0</v>
      </c>
      <c r="G8" s="1">
        <f>SUMPRODUCT(--(G$3:G$3-$AF$3:$AF$3)^2)^0.5</f>
        <v>0</v>
      </c>
      <c r="H8" s="1">
        <f>SUMPRODUCT(--(H$3:H$3-$AG$3:$AG$3)^2)^0.5</f>
        <v>0</v>
      </c>
      <c r="I8" s="1"/>
      <c r="J8" s="1">
        <f>SUMPRODUCT(--(J$3:J$3-$AH$3:$AH$3)^2)^0.5</f>
        <v>0</v>
      </c>
      <c r="K8" s="1">
        <f>SUMPRODUCT(--(K$3:K$3-$AI$3:$AI$3)^2)^0.5</f>
        <v>0</v>
      </c>
      <c r="L8" s="1">
        <f>SUMPRODUCT(--(L$3:L$3-$AF$3:$AF$3)^2)^0.5</f>
        <v>0</v>
      </c>
      <c r="M8" s="1">
        <f>SUMPRODUCT(--(M$3:M$3-$AG$3:$AG$3)^2)^0.5</f>
        <v>0</v>
      </c>
      <c r="N8" s="1"/>
      <c r="O8" s="1">
        <f>SUMPRODUCT(--(O$3:O$3-$AH$3:$AH$3)^2)^0.5</f>
        <v>0</v>
      </c>
      <c r="P8" s="1">
        <f>SUMPRODUCT(--(P$3:P$3-$AI$3:$AI$3)^2)^0.5</f>
        <v>0</v>
      </c>
      <c r="Q8" s="1">
        <f>SUMPRODUCT(--(Q$3:Q$3-$AF$3:$AF$3)^2)^0.5</f>
        <v>0</v>
      </c>
      <c r="R8" s="1">
        <f>SUMPRODUCT(--(R$3:R$3-$AG$3:$AG$3)^2)^0.5</f>
        <v>0</v>
      </c>
      <c r="S8" s="1"/>
      <c r="T8" s="1">
        <f>SUMPRODUCT(--(T$3:T$3-$AH$3:$AH$3)^2)^0.5</f>
        <v>0</v>
      </c>
      <c r="U8" s="1">
        <f>SUMPRODUCT(--(U$3:U$3-$AI$3:$AI$3)^2)^0.5</f>
        <v>0</v>
      </c>
      <c r="V8" s="1">
        <f>SUMPRODUCT(--(V$3:V$3-$AF$3:$AF$3)^2)^0.5</f>
        <v>0</v>
      </c>
      <c r="W8" s="1">
        <f>SUMPRODUCT(--(W$3:W$3-$AG$3:$AG$3)^2)^0.5</f>
        <v>0</v>
      </c>
      <c r="X8" s="1"/>
      <c r="Y8" s="1">
        <f>SUMPRODUCT(--(Y$3:Y$3-$AH$3:$AH$3)^2)^0.5</f>
        <v>0</v>
      </c>
      <c r="Z8" s="1">
        <f>SUMPRODUCT(--(Z$3:Z$3-$AI$3:$AI$3)^2)^0.5</f>
        <v>0</v>
      </c>
      <c r="AA8" s="1">
        <f>SUMPRODUCT(--(AA$3:AA$3-$AF$3:$AF$3)^2)^0.5</f>
        <v>0</v>
      </c>
      <c r="AB8" s="1">
        <f>SUMPRODUCT(--(AB$3:AB$3-$AG$3:$AG$3)^2)^0.5</f>
        <v>0</v>
      </c>
      <c r="AC8" s="1"/>
      <c r="AD8" s="1">
        <f>SUMPRODUCT(--(AD$3:AD$3-$AH$3:$AH$3)^2)^0.5</f>
        <v>0</v>
      </c>
      <c r="AE8" s="1">
        <f>SUMPRODUCT(--(AE$3:AE$3-$AI$3:$AI$3)^2)^0.5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>
      <c r="A9" s="1" t="s">
        <v>8</v>
      </c>
      <c r="B9" s="1">
        <f>SUMPRODUCT(NOT(ISBLANK(B$3:B$3))*(B$3:B$3=$AF$3:$AF$3))</f>
        <v>0</v>
      </c>
      <c r="C9" s="1">
        <f>SUMPRODUCT(NOT(ISBLANK(C$3:C$3))*(C$3:C$3=$AG$3:$AG$3))</f>
        <v>0</v>
      </c>
      <c r="D9" s="1"/>
      <c r="E9" s="1">
        <f>SUMPRODUCT(NOT(ISBLANK(E$3:E$3))*(E$3:E$3=$AH$3:$AH$3))</f>
        <v>0</v>
      </c>
      <c r="F9" s="1">
        <f>SUMPRODUCT(NOT(ISBLANK(F$3:F$3))*(F$3:F$3=$AI$3:$AI$3))</f>
        <v>0</v>
      </c>
      <c r="G9" s="1">
        <f>SUMPRODUCT(NOT(ISBLANK(G$3:G$3))*(G$3:G$3=$AF$3:$AF$3))</f>
        <v>0</v>
      </c>
      <c r="H9" s="1">
        <f>SUMPRODUCT(NOT(ISBLANK(H$3:H$3))*(H$3:H$3=$AG$3:$AG$3))</f>
        <v>0</v>
      </c>
      <c r="I9" s="1"/>
      <c r="J9" s="1">
        <f>SUMPRODUCT(NOT(ISBLANK(J$3:J$3))*(J$3:J$3=$AH$3:$AH$3))</f>
        <v>0</v>
      </c>
      <c r="K9" s="1">
        <f>SUMPRODUCT(NOT(ISBLANK(K$3:K$3))*(K$3:K$3=$AI$3:$AI$3))</f>
        <v>0</v>
      </c>
      <c r="L9" s="1">
        <f>SUMPRODUCT(NOT(ISBLANK(L$3:L$3))*(L$3:L$3=$AF$3:$AF$3))</f>
        <v>0</v>
      </c>
      <c r="M9" s="1">
        <f>SUMPRODUCT(NOT(ISBLANK(M$3:M$3))*(M$3:M$3=$AG$3:$AG$3))</f>
        <v>0</v>
      </c>
      <c r="N9" s="1"/>
      <c r="O9" s="1">
        <f>SUMPRODUCT(NOT(ISBLANK(O$3:O$3))*(O$3:O$3=$AH$3:$AH$3))</f>
        <v>0</v>
      </c>
      <c r="P9" s="1">
        <f>SUMPRODUCT(NOT(ISBLANK(P$3:P$3))*(P$3:P$3=$AI$3:$AI$3))</f>
        <v>0</v>
      </c>
      <c r="Q9" s="1">
        <f>SUMPRODUCT(NOT(ISBLANK(Q$3:Q$3))*(Q$3:Q$3=$AF$3:$AF$3))</f>
        <v>0</v>
      </c>
      <c r="R9" s="1">
        <f>SUMPRODUCT(NOT(ISBLANK(R$3:R$3))*(R$3:R$3=$AG$3:$AG$3))</f>
        <v>0</v>
      </c>
      <c r="S9" s="1"/>
      <c r="T9" s="1">
        <f>SUMPRODUCT(NOT(ISBLANK(T$3:T$3))*(T$3:T$3=$AH$3:$AH$3))</f>
        <v>0</v>
      </c>
      <c r="U9" s="1">
        <f>SUMPRODUCT(NOT(ISBLANK(U$3:U$3))*(U$3:U$3=$AI$3:$AI$3))</f>
        <v>0</v>
      </c>
      <c r="V9" s="1">
        <f>SUMPRODUCT(NOT(ISBLANK(V$3:V$3))*(V$3:V$3=$AF$3:$AF$3))</f>
        <v>0</v>
      </c>
      <c r="W9" s="1">
        <f>SUMPRODUCT(NOT(ISBLANK(W$3:W$3))*(W$3:W$3=$AG$3:$AG$3))</f>
        <v>0</v>
      </c>
      <c r="X9" s="1"/>
      <c r="Y9" s="1">
        <f>SUMPRODUCT(NOT(ISBLANK(Y$3:Y$3))*(Y$3:Y$3=$AH$3:$AH$3))</f>
        <v>0</v>
      </c>
      <c r="Z9" s="1">
        <f>SUMPRODUCT(NOT(ISBLANK(Z$3:Z$3))*(Z$3:Z$3=$AI$3:$AI$3))</f>
        <v>0</v>
      </c>
      <c r="AA9" s="1">
        <f>SUMPRODUCT(NOT(ISBLANK(AA$3:AA$3))*(AA$3:AA$3=$AF$3:$AF$3))</f>
        <v>0</v>
      </c>
      <c r="AB9" s="1">
        <f>SUMPRODUCT(NOT(ISBLANK(AB$3:AB$3))*(AB$3:AB$3=$AG$3:$AG$3))</f>
        <v>0</v>
      </c>
      <c r="AC9" s="1"/>
      <c r="AD9" s="1">
        <f>SUMPRODUCT(NOT(ISBLANK(AD$3:AD$3))*(AD$3:AD$3=$AH$3:$AH$3))</f>
        <v>0</v>
      </c>
      <c r="AE9" s="1">
        <f>SUMPRODUCT(NOT(ISBLANK(AE$3:AE$3))*(AE$3:AE$3=$AI$3:$AI$3))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" t="s">
        <v>9</v>
      </c>
      <c r="B10" s="1">
        <f>SUMPRODUCT(NOT(ISBLANK(B$3:B$3))*(B$3:B$3&lt;$AJ$3:$AJ$3))</f>
        <v>0</v>
      </c>
      <c r="C10" s="1">
        <f>SUMPRODUCT(NOT(ISBLANK(C$3:C$3))*(C$3:C$3&lt;$AK$3:$AK$3))</f>
        <v>0</v>
      </c>
      <c r="D10" s="1"/>
      <c r="E10" s="1">
        <f>SUMPRODUCT(NOT(ISBLANK(E$3:E$3))*(E$3:E$3&lt;$AL$3:$AL$3))</f>
        <v>0</v>
      </c>
      <c r="F10" s="1">
        <f>SUMPRODUCT(NOT(ISBLANK(F$3:F$3))*(F$3:F$3&lt;$AM$3:$AM$3))</f>
        <v>0</v>
      </c>
      <c r="G10" s="1">
        <f>SUMPRODUCT(NOT(ISBLANK(G$3:G$3))*(G$3:G$3&lt;$AJ$3:$AJ$3))</f>
        <v>0</v>
      </c>
      <c r="H10" s="1">
        <f>SUMPRODUCT(NOT(ISBLANK(H$3:H$3))*(H$3:H$3&lt;$AK$3:$AK$3))</f>
        <v>0</v>
      </c>
      <c r="I10" s="1"/>
      <c r="J10" s="1">
        <f>SUMPRODUCT(NOT(ISBLANK(J$3:J$3))*(J$3:J$3&lt;$AL$3:$AL$3))</f>
        <v>0</v>
      </c>
      <c r="K10" s="1">
        <f>SUMPRODUCT(NOT(ISBLANK(K$3:K$3))*(K$3:K$3&lt;$AM$3:$AM$3))</f>
        <v>0</v>
      </c>
      <c r="L10" s="1">
        <f>SUMPRODUCT(NOT(ISBLANK(L$3:L$3))*(L$3:L$3&lt;$AJ$3:$AJ$3))</f>
        <v>0</v>
      </c>
      <c r="M10" s="1">
        <f>SUMPRODUCT(NOT(ISBLANK(M$3:M$3))*(M$3:M$3&lt;$AK$3:$AK$3))</f>
        <v>0</v>
      </c>
      <c r="N10" s="1"/>
      <c r="O10" s="1">
        <f>SUMPRODUCT(NOT(ISBLANK(O$3:O$3))*(O$3:O$3&lt;$AL$3:$AL$3))</f>
        <v>0</v>
      </c>
      <c r="P10" s="1">
        <f>SUMPRODUCT(NOT(ISBLANK(P$3:P$3))*(P$3:P$3&lt;$AM$3:$AM$3))</f>
        <v>0</v>
      </c>
      <c r="Q10" s="1">
        <f>SUMPRODUCT(NOT(ISBLANK(Q$3:Q$3))*(Q$3:Q$3&lt;$AJ$3:$AJ$3))</f>
        <v>0</v>
      </c>
      <c r="R10" s="1">
        <f>SUMPRODUCT(NOT(ISBLANK(R$3:R$3))*(R$3:R$3&lt;$AK$3:$AK$3))</f>
        <v>0</v>
      </c>
      <c r="S10" s="1"/>
      <c r="T10" s="1">
        <f>SUMPRODUCT(NOT(ISBLANK(T$3:T$3))*(T$3:T$3&lt;$AL$3:$AL$3))</f>
        <v>0</v>
      </c>
      <c r="U10" s="1">
        <f>SUMPRODUCT(NOT(ISBLANK(U$3:U$3))*(U$3:U$3&lt;$AM$3:$AM$3))</f>
        <v>0</v>
      </c>
      <c r="V10" s="1">
        <f>SUMPRODUCT(NOT(ISBLANK(V$3:V$3))*(V$3:V$3&lt;$AJ$3:$AJ$3))</f>
        <v>0</v>
      </c>
      <c r="W10" s="1">
        <f>SUMPRODUCT(NOT(ISBLANK(W$3:W$3))*(W$3:W$3&lt;$AK$3:$AK$3))</f>
        <v>0</v>
      </c>
      <c r="X10" s="1"/>
      <c r="Y10" s="1">
        <f>SUMPRODUCT(NOT(ISBLANK(Y$3:Y$3))*(Y$3:Y$3&lt;$AL$3:$AL$3))</f>
        <v>0</v>
      </c>
      <c r="Z10" s="1">
        <f>SUMPRODUCT(NOT(ISBLANK(Z$3:Z$3))*(Z$3:Z$3&lt;$AM$3:$AM$3))</f>
        <v>0</v>
      </c>
      <c r="AA10" s="1">
        <f>SUMPRODUCT(NOT(ISBLANK(AA$3:AA$3))*(AA$3:AA$3&lt;$AJ$3:$AJ$3))</f>
        <v>0</v>
      </c>
      <c r="AB10" s="1">
        <f>SUMPRODUCT(NOT(ISBLANK(AB$3:AB$3))*(AB$3:AB$3&lt;$AK$3:$AK$3))</f>
        <v>0</v>
      </c>
      <c r="AC10" s="1"/>
      <c r="AD10" s="1">
        <f>SUMPRODUCT(NOT(ISBLANK(AD$3:AD$3))*(AD$3:AD$3&lt;$AL$3:$AL$3))</f>
        <v>0</v>
      </c>
      <c r="AE10" s="1">
        <f>SUMPRODUCT(NOT(ISBLANK(AE$3:AE$3))*(AE$3:AE$3&lt;$AM$3:$AM$3))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>
      <c r="A11" s="1" t="s">
        <v>10</v>
      </c>
      <c r="B11" s="1">
        <f>SUMPRODUCT((NOT(ISBLANK(B$3:B$3))*(B$3:B$3&gt;$AJ$3:$AJ$3))+ISBLANK(B$3:B$3))</f>
        <v>0</v>
      </c>
      <c r="C11" s="1">
        <f>SUMPRODUCT((NOT(ISBLANK(C$3:C$3))*(C$3:C$3&gt;$AK$3:$AK$3))+ISBLANK(C$3:C$3))</f>
        <v>0</v>
      </c>
      <c r="D11" s="1"/>
      <c r="E11" s="1">
        <f>SUMPRODUCT((NOT(ISBLANK(E$3:E$3))*(E$3:E$3&gt;$AL$3:$AL$3))+ISBLANK(E$3:E$3))</f>
        <v>0</v>
      </c>
      <c r="F11" s="1">
        <f>SUMPRODUCT((NOT(ISBLANK(F$3:F$3))*(F$3:F$3&gt;$AM$3:$AM$3))+ISBLANK(F$3:F$3))</f>
        <v>0</v>
      </c>
      <c r="G11" s="1">
        <f>SUMPRODUCT((NOT(ISBLANK(G$3:G$3))*(G$3:G$3&gt;$AJ$3:$AJ$3))+ISBLANK(G$3:G$3))</f>
        <v>0</v>
      </c>
      <c r="H11" s="1">
        <f>SUMPRODUCT((NOT(ISBLANK(H$3:H$3))*(H$3:H$3&gt;$AK$3:$AK$3))+ISBLANK(H$3:H$3))</f>
        <v>0</v>
      </c>
      <c r="I11" s="1"/>
      <c r="J11" s="1">
        <f>SUMPRODUCT((NOT(ISBLANK(J$3:J$3))*(J$3:J$3&gt;$AL$3:$AL$3))+ISBLANK(J$3:J$3))</f>
        <v>0</v>
      </c>
      <c r="K11" s="1">
        <f>SUMPRODUCT((NOT(ISBLANK(K$3:K$3))*(K$3:K$3&gt;$AM$3:$AM$3))+ISBLANK(K$3:K$3))</f>
        <v>0</v>
      </c>
      <c r="L11" s="1">
        <f>SUMPRODUCT((NOT(ISBLANK(L$3:L$3))*(L$3:L$3&gt;$AJ$3:$AJ$3))+ISBLANK(L$3:L$3))</f>
        <v>0</v>
      </c>
      <c r="M11" s="1">
        <f>SUMPRODUCT((NOT(ISBLANK(M$3:M$3))*(M$3:M$3&gt;$AK$3:$AK$3))+ISBLANK(M$3:M$3))</f>
        <v>0</v>
      </c>
      <c r="N11" s="1"/>
      <c r="O11" s="1">
        <f>SUMPRODUCT((NOT(ISBLANK(O$3:O$3))*(O$3:O$3&gt;$AL$3:$AL$3))+ISBLANK(O$3:O$3))</f>
        <v>0</v>
      </c>
      <c r="P11" s="1">
        <f>SUMPRODUCT((NOT(ISBLANK(P$3:P$3))*(P$3:P$3&gt;$AM$3:$AM$3))+ISBLANK(P$3:P$3))</f>
        <v>0</v>
      </c>
      <c r="Q11" s="1">
        <f>SUMPRODUCT((NOT(ISBLANK(Q$3:Q$3))*(Q$3:Q$3&gt;$AJ$3:$AJ$3))+ISBLANK(Q$3:Q$3))</f>
        <v>0</v>
      </c>
      <c r="R11" s="1">
        <f>SUMPRODUCT((NOT(ISBLANK(R$3:R$3))*(R$3:R$3&gt;$AK$3:$AK$3))+ISBLANK(R$3:R$3))</f>
        <v>0</v>
      </c>
      <c r="S11" s="1"/>
      <c r="T11" s="1">
        <f>SUMPRODUCT((NOT(ISBLANK(T$3:T$3))*(T$3:T$3&gt;$AL$3:$AL$3))+ISBLANK(T$3:T$3))</f>
        <v>0</v>
      </c>
      <c r="U11" s="1">
        <f>SUMPRODUCT((NOT(ISBLANK(U$3:U$3))*(U$3:U$3&gt;$AM$3:$AM$3))+ISBLANK(U$3:U$3))</f>
        <v>0</v>
      </c>
      <c r="V11" s="1">
        <f>SUMPRODUCT((NOT(ISBLANK(V$3:V$3))*(V$3:V$3&gt;$AJ$3:$AJ$3))+ISBLANK(V$3:V$3))</f>
        <v>0</v>
      </c>
      <c r="W11" s="1">
        <f>SUMPRODUCT((NOT(ISBLANK(W$3:W$3))*(W$3:W$3&gt;$AK$3:$AK$3))+ISBLANK(W$3:W$3))</f>
        <v>0</v>
      </c>
      <c r="X11" s="1"/>
      <c r="Y11" s="1">
        <f>SUMPRODUCT((NOT(ISBLANK(Y$3:Y$3))*(Y$3:Y$3&gt;$AL$3:$AL$3))+ISBLANK(Y$3:Y$3))</f>
        <v>0</v>
      </c>
      <c r="Z11" s="1">
        <f>SUMPRODUCT((NOT(ISBLANK(Z$3:Z$3))*(Z$3:Z$3&gt;$AM$3:$AM$3))+ISBLANK(Z$3:Z$3))</f>
        <v>0</v>
      </c>
      <c r="AA11" s="1">
        <f>SUMPRODUCT((NOT(ISBLANK(AA$3:AA$3))*(AA$3:AA$3&gt;$AJ$3:$AJ$3))+ISBLANK(AA$3:AA$3))</f>
        <v>0</v>
      </c>
      <c r="AB11" s="1">
        <f>SUMPRODUCT((NOT(ISBLANK(AB$3:AB$3))*(AB$3:AB$3&gt;$AK$3:$AK$3))+ISBLANK(AB$3:AB$3))</f>
        <v>0</v>
      </c>
      <c r="AC11" s="1"/>
      <c r="AD11" s="1">
        <f>SUMPRODUCT((NOT(ISBLANK(AD$3:AD$3))*(AD$3:AD$3&gt;$AL$3:$AL$3))+ISBLANK(AD$3:AD$3))</f>
        <v>0</v>
      </c>
      <c r="AE11" s="1">
        <f>SUMPRODUCT((NOT(ISBLANK(AE$3:AE$3))*(AE$3:AE$3&gt;$AM$3:$AM$3))+ISBLANK(AE$3:AE$3))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" t="s">
        <v>11</v>
      </c>
      <c r="B12" s="1">
        <f>SUMPRODUCT((NOT(ISBLANK(B$3:B$3))*(B$3:B$3=$AN$3:$AN$3))+ISBLANK(B$3:B$3))</f>
        <v>0</v>
      </c>
      <c r="C12" s="1">
        <f>SUMPRODUCT((NOT(ISBLANK(C$3:C$3))*(C$3:C$3=$AO$3:$AO$3))+ISBLANK(C$3:C$3))</f>
        <v>0</v>
      </c>
      <c r="D12" s="1"/>
      <c r="E12" s="1">
        <f>SUMPRODUCT((NOT(ISBLANK(E$3:E$3))*(E$3:E$3=$AP$3:$AP$3))+ISBLANK(E$3:E$3))</f>
        <v>0</v>
      </c>
      <c r="F12" s="1">
        <f>SUMPRODUCT((NOT(ISBLANK(F$3:F$3))*(F$3:F$3=$AQ$3:$AQ$3))+ISBLANK(F$3:F$3))</f>
        <v>0</v>
      </c>
      <c r="G12" s="1">
        <f>SUMPRODUCT((NOT(ISBLANK(G$3:G$3))*(G$3:G$3=$AN$3:$AN$3))+ISBLANK(G$3:G$3))</f>
        <v>0</v>
      </c>
      <c r="H12" s="1">
        <f>SUMPRODUCT((NOT(ISBLANK(H$3:H$3))*(H$3:H$3=$AO$3:$AO$3))+ISBLANK(H$3:H$3))</f>
        <v>0</v>
      </c>
      <c r="I12" s="1"/>
      <c r="J12" s="1">
        <f>SUMPRODUCT((NOT(ISBLANK(J$3:J$3))*(J$3:J$3=$AP$3:$AP$3))+ISBLANK(J$3:J$3))</f>
        <v>0</v>
      </c>
      <c r="K12" s="1">
        <f>SUMPRODUCT((NOT(ISBLANK(K$3:K$3))*(K$3:K$3=$AQ$3:$AQ$3))+ISBLANK(K$3:K$3))</f>
        <v>0</v>
      </c>
      <c r="L12" s="1">
        <f>SUMPRODUCT((NOT(ISBLANK(L$3:L$3))*(L$3:L$3=$AN$3:$AN$3))+ISBLANK(L$3:L$3))</f>
        <v>0</v>
      </c>
      <c r="M12" s="1">
        <f>SUMPRODUCT((NOT(ISBLANK(M$3:M$3))*(M$3:M$3=$AO$3:$AO$3))+ISBLANK(M$3:M$3))</f>
        <v>0</v>
      </c>
      <c r="N12" s="1"/>
      <c r="O12" s="1">
        <f>SUMPRODUCT((NOT(ISBLANK(O$3:O$3))*(O$3:O$3=$AP$3:$AP$3))+ISBLANK(O$3:O$3))</f>
        <v>0</v>
      </c>
      <c r="P12" s="1">
        <f>SUMPRODUCT((NOT(ISBLANK(P$3:P$3))*(P$3:P$3=$AQ$3:$AQ$3))+ISBLANK(P$3:P$3))</f>
        <v>0</v>
      </c>
      <c r="Q12" s="1">
        <f>SUMPRODUCT((NOT(ISBLANK(Q$3:Q$3))*(Q$3:Q$3=$AN$3:$AN$3))+ISBLANK(Q$3:Q$3))</f>
        <v>0</v>
      </c>
      <c r="R12" s="1">
        <f>SUMPRODUCT((NOT(ISBLANK(R$3:R$3))*(R$3:R$3=$AO$3:$AO$3))+ISBLANK(R$3:R$3))</f>
        <v>0</v>
      </c>
      <c r="S12" s="1"/>
      <c r="T12" s="1">
        <f>SUMPRODUCT((NOT(ISBLANK(T$3:T$3))*(T$3:T$3=$AP$3:$AP$3))+ISBLANK(T$3:T$3))</f>
        <v>0</v>
      </c>
      <c r="U12" s="1">
        <f>SUMPRODUCT((NOT(ISBLANK(U$3:U$3))*(U$3:U$3=$AQ$3:$AQ$3))+ISBLANK(U$3:U$3))</f>
        <v>0</v>
      </c>
      <c r="V12" s="1">
        <f>SUMPRODUCT((NOT(ISBLANK(V$3:V$3))*(V$3:V$3=$AN$3:$AN$3))+ISBLANK(V$3:V$3))</f>
        <v>0</v>
      </c>
      <c r="W12" s="1">
        <f>SUMPRODUCT((NOT(ISBLANK(W$3:W$3))*(W$3:W$3=$AO$3:$AO$3))+ISBLANK(W$3:W$3))</f>
        <v>0</v>
      </c>
      <c r="X12" s="1"/>
      <c r="Y12" s="1">
        <f>SUMPRODUCT((NOT(ISBLANK(Y$3:Y$3))*(Y$3:Y$3=$AP$3:$AP$3))+ISBLANK(Y$3:Y$3))</f>
        <v>0</v>
      </c>
      <c r="Z12" s="1">
        <f>SUMPRODUCT((NOT(ISBLANK(Z$3:Z$3))*(Z$3:Z$3=$AQ$3:$AQ$3))+ISBLANK(Z$3:Z$3))</f>
        <v>0</v>
      </c>
      <c r="AA12" s="1">
        <f>SUMPRODUCT((NOT(ISBLANK(AA$3:AA$3))*(AA$3:AA$3=$AN$3:$AN$3))+ISBLANK(AA$3:AA$3))</f>
        <v>0</v>
      </c>
      <c r="AB12" s="1">
        <f>SUMPRODUCT((NOT(ISBLANK(AB$3:AB$3))*(AB$3:AB$3=$AO$3:$AO$3))+ISBLANK(AB$3:AB$3))</f>
        <v>0</v>
      </c>
      <c r="AC12" s="1"/>
      <c r="AD12" s="1">
        <f>SUMPRODUCT((NOT(ISBLANK(AD$3:AD$3))*(AD$3:AD$3=$AP$3:$AP$3))+ISBLANK(AD$3:AD$3))</f>
        <v>0</v>
      </c>
      <c r="AE12" s="1">
        <f>SUMPRODUCT((NOT(ISBLANK(AE$3:AE$3))*(AE$3:AE$3=$AQ$3:$AQ$3))+ISBLANK(AE$3:AE$3))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2026-02-15T21:39:09Z</dcterms:created>
  <dcterms:modified xsi:type="dcterms:W3CDTF">2026-02-15T21:39:09Z</dcterms:modified>
</cp:coreProperties>
</file>