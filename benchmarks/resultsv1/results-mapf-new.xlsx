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<sst xmlns="http://schemas.openxmlformats.org/spreadsheetml/2006/main" count="324" uniqueCount="66">
  <si>
    <t>instances/x6_y6_a1_f1</t>
  </si>
  <si>
    <t>instances/x6_y6_a1_f10</t>
  </si>
  <si>
    <t>instances/x6_y6_a1_f15</t>
  </si>
  <si>
    <t>instances/x6_y6_a1_f20</t>
  </si>
  <si>
    <t>instances/x6_y6_a1_f25</t>
  </si>
  <si>
    <t>instances/x6_y6_a1_f30</t>
  </si>
  <si>
    <t>instances/x6_y6_a1_f35</t>
  </si>
  <si>
    <t>instances/x6_y6_a1_f40</t>
  </si>
  <si>
    <t>instances/x6_y6_a1_f45</t>
  </si>
  <si>
    <t>instances/x6_y6_a1_f5</t>
  </si>
  <si>
    <t>instances/x6_y6_a1_f50</t>
  </si>
  <si>
    <t>instances/x6_y6_a2_f1</t>
  </si>
  <si>
    <t>instances/x6_y6_a2_f10</t>
  </si>
  <si>
    <t>instances/x6_y6_a2_f15</t>
  </si>
  <si>
    <t>instances/x6_y6_a2_f20</t>
  </si>
  <si>
    <t>instances/x6_y6_a2_f25</t>
  </si>
  <si>
    <t>instances/x6_y6_a2_f30</t>
  </si>
  <si>
    <t>instances/x6_y6_a2_f35</t>
  </si>
  <si>
    <t>instances/x6_y6_a2_f40</t>
  </si>
  <si>
    <t>instances/x6_y6_a2_f45</t>
  </si>
  <si>
    <t>instances/x6_y6_a2_f5</t>
  </si>
  <si>
    <t>instances/x6_y6_a2_f50</t>
  </si>
  <si>
    <t>instances/x6_y6_a3_f1</t>
  </si>
  <si>
    <t>instances/x6_y6_a3_f10</t>
  </si>
  <si>
    <t>instances/x6_y6_a3_f15</t>
  </si>
  <si>
    <t>instances/x6_y6_a3_f20</t>
  </si>
  <si>
    <t>instances/x6_y6_a3_f25</t>
  </si>
  <si>
    <t>instances/x6_y6_a3_f30</t>
  </si>
  <si>
    <t>instances/x6_y6_a3_f35</t>
  </si>
  <si>
    <t>instances/x6_y6_a3_f40</t>
  </si>
  <si>
    <t>instances/x6_y6_a3_f45</t>
  </si>
  <si>
    <t>instances/x6_y6_a3_f5</t>
  </si>
  <si>
    <t>instances/x6_y6_a3_f50</t>
  </si>
  <si>
    <t>instances/x6_y6_a4_f1</t>
  </si>
  <si>
    <t>instances/x6_y6_a4_f10</t>
  </si>
  <si>
    <t>instances/x6_y6_a4_f15</t>
  </si>
  <si>
    <t>instances/x6_y6_a4_f20</t>
  </si>
  <si>
    <t>instances/x6_y6_a4_f25</t>
  </si>
  <si>
    <t>instances/x6_y6_a4_f30</t>
  </si>
  <si>
    <t>instances/x6_y6_a4_f35</t>
  </si>
  <si>
    <t>instances/x6_y6_a4_f40</t>
  </si>
  <si>
    <t>instances/x6_y6_a4_f45</t>
  </si>
  <si>
    <t>instances/x6_y6_a4_f5</t>
  </si>
  <si>
    <t>instances/x6_y6_a4_f50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</si>
  <si>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</si>
  <si>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</si>
  <si>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</si>
  <si>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</si>
  <si>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</si>
  <si>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</si>
  <si>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</si>
  <si>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</si>
  <si>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memelingo-1/allapproaches_mlp-tplp-ht</t>
  </si>
  <si>
    <t>time</t>
  </si>
  <si>
    <t>stime</t>
  </si>
  <si>
    <t>status</t>
  </si>
  <si>
    <t>SATISFIABLE</t>
  </si>
  <si>
    <t>UNKNOWN</t>
  </si>
  <si>
    <t>rules</t>
  </si>
  <si>
    <t>memelingo-1/allapproaches_mlp-tplp-htc</t>
  </si>
  <si>
    <t>memelingo-1/allapproaches_mlp-tplp-htcdl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</si>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</sst>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1.85546875" customWidth="1"/>
    <col min="2" max="3" width="11.42578125" customWidth="1"/>
    <col min="4" max="4" width="11.7109375" customWidth="1"/>
    <col min="5" max="7" width="11.42578125" customWidth="1"/>
    <col min="8" max="8" width="11.7109375" customWidth="1"/>
    <col min="9" max="11" width="11.42578125" customWidth="1"/>
    <col min="12" max="12" width="11.7109375" customWidth="1"/>
    <col min="13" max="22" width="11.42578125" customWidth="1"/>
  </cols>
  <sheetData>
    <row r="1" spans="1:22">
      <c r="A1" s="1"/>
      <c r="B1" s="1" t="s">
        <v>52</v>
      </c>
      <c r="C1" s="1"/>
      <c r="D1" s="1"/>
      <c r="E1" s="1"/>
      <c r="F1" s="1" t="s">
        <v>59</v>
      </c>
      <c r="G1" s="1"/>
      <c r="H1" s="1"/>
      <c r="I1" s="1"/>
      <c r="J1" s="1" t="s">
        <v>60</v>
      </c>
      <c r="K1" s="1"/>
      <c r="L1" s="1"/>
      <c r="M1" s="1"/>
      <c r="N1" s="1" t="s">
        <v>61</v>
      </c>
      <c r="O1" s="1"/>
      <c r="P1" s="1"/>
      <c r="Q1" s="1" t="s">
        <v>62</v>
      </c>
      <c r="R1" s="1"/>
      <c r="S1" s="1"/>
      <c r="T1" s="1" t="s">
        <v>63</v>
      </c>
      <c r="U1" s="1"/>
      <c r="V1" s="1"/>
    </row>
    <row r="2" spans="1:22">
      <c r="A2" s="1"/>
      <c r="B2" s="1" t="s">
        <v>53</v>
      </c>
      <c r="C2" s="1" t="s">
        <v>54</v>
      </c>
      <c r="D2" s="1" t="s">
        <v>55</v>
      </c>
      <c r="E2" s="1" t="s">
        <v>58</v>
      </c>
      <c r="F2" s="1" t="s">
        <v>53</v>
      </c>
      <c r="G2" s="1" t="s">
        <v>54</v>
      </c>
      <c r="H2" s="1" t="s">
        <v>55</v>
      </c>
      <c r="I2" s="1" t="s">
        <v>58</v>
      </c>
      <c r="J2" s="1" t="s">
        <v>53</v>
      </c>
      <c r="K2" s="1" t="s">
        <v>54</v>
      </c>
      <c r="L2" s="1" t="s">
        <v>55</v>
      </c>
      <c r="M2" s="1" t="s">
        <v>58</v>
      </c>
      <c r="N2" s="1" t="s">
        <v>53</v>
      </c>
      <c r="O2" s="1" t="s">
        <v>54</v>
      </c>
      <c r="P2" s="1" t="s">
        <v>58</v>
      </c>
      <c r="Q2" s="1" t="s">
        <v>53</v>
      </c>
      <c r="R2" s="1" t="s">
        <v>54</v>
      </c>
      <c r="S2" s="1" t="s">
        <v>58</v>
      </c>
      <c r="T2" s="1" t="s">
        <v>53</v>
      </c>
      <c r="U2" s="1" t="s">
        <v>54</v>
      </c>
      <c r="V2" s="1" t="s">
        <v>58</v>
      </c>
    </row>
    <row r="3" spans="1:22">
      <c r="A3" s="1" t="s">
        <v>0</v>
      </c>
      <c r="B3" s="1">
        <v>8.48</v>
      </c>
      <c r="C3" s="1">
        <v>0.03</v>
      </c>
      <c r="D3" s="1" t="s">
        <v>56</v>
      </c>
      <c r="E3" s="1">
        <v>223548</v>
      </c>
      <c r="F3" s="1">
        <v>11.27</v>
      </c>
      <c r="G3" s="1">
        <v>0.28</v>
      </c>
      <c r="H3" s="1" t="s">
        <v>56</v>
      </c>
      <c r="I3" s="1">
        <v>179712</v>
      </c>
      <c r="J3" s="1">
        <v>16.28</v>
      </c>
      <c r="K3" s="1">
        <v>7.24</v>
      </c>
      <c r="L3" s="1" t="s">
        <v>56</v>
      </c>
      <c r="M3" s="1">
        <v>179702</v>
      </c>
      <c r="N3" s="1">
        <f>MIN($B3,$F3,$J3)</f>
        <v>0</v>
      </c>
      <c r="O3" s="1">
        <f>MIN($C3,$G3,$K3)</f>
        <v>0</v>
      </c>
      <c r="P3" s="1">
        <f>MIN($E3,$I3,$M3)</f>
        <v>0</v>
      </c>
      <c r="Q3" s="1">
        <f>MEDIAN($B3,$F3,$J3)</f>
        <v>0</v>
      </c>
      <c r="R3" s="1">
        <f>MEDIAN($C3,$G3,$K3)</f>
        <v>0</v>
      </c>
      <c r="S3" s="1">
        <f>MEDIAN($E3,$I3,$M3)</f>
        <v>0</v>
      </c>
      <c r="T3" s="1">
        <f>MAX($B3,$F3,$J3)</f>
        <v>0</v>
      </c>
      <c r="U3" s="1">
        <f>MAX($C3,$G3,$K3)</f>
        <v>0</v>
      </c>
      <c r="V3" s="1">
        <f>MAX($E3,$I3,$M3)</f>
        <v>0</v>
      </c>
    </row>
    <row r="4" spans="1:22">
      <c r="A4" s="1" t="s">
        <v>1</v>
      </c>
      <c r="B4" s="1">
        <v>62.01</v>
      </c>
      <c r="C4" s="1">
        <v>9.31</v>
      </c>
      <c r="D4" s="1" t="s">
        <v>56</v>
      </c>
      <c r="E4" s="1">
        <v>9466268</v>
      </c>
      <c r="F4" s="1">
        <v>9.76</v>
      </c>
      <c r="G4" s="1">
        <v>0.61</v>
      </c>
      <c r="H4" s="1" t="s">
        <v>56</v>
      </c>
      <c r="I4" s="1">
        <v>179823</v>
      </c>
      <c r="J4" s="1">
        <v>45.06</v>
      </c>
      <c r="K4" s="1">
        <v>34.88</v>
      </c>
      <c r="L4" s="1" t="s">
        <v>56</v>
      </c>
      <c r="M4" s="1">
        <v>179813</v>
      </c>
      <c r="N4" s="1">
        <f>MIN($B4,$F4,$J4)</f>
        <v>0</v>
      </c>
      <c r="O4" s="1">
        <f>MIN($C4,$G4,$K4)</f>
        <v>0</v>
      </c>
      <c r="P4" s="1">
        <f>MIN($E4,$I4,$M4)</f>
        <v>0</v>
      </c>
      <c r="Q4" s="1">
        <f>MEDIAN($B4,$F4,$J4)</f>
        <v>0</v>
      </c>
      <c r="R4" s="1">
        <f>MEDIAN($C4,$G4,$K4)</f>
        <v>0</v>
      </c>
      <c r="S4" s="1">
        <f>MEDIAN($E4,$I4,$M4)</f>
        <v>0</v>
      </c>
      <c r="T4" s="1">
        <f>MAX($B4,$F4,$J4)</f>
        <v>0</v>
      </c>
      <c r="U4" s="1">
        <f>MAX($C4,$G4,$K4)</f>
        <v>0</v>
      </c>
      <c r="V4" s="1">
        <f>MAX($E4,$I4,$M4)</f>
        <v>0</v>
      </c>
    </row>
    <row r="5" spans="1:22">
      <c r="A5" s="1" t="s">
        <v>2</v>
      </c>
      <c r="B5" s="1">
        <v>176.01</v>
      </c>
      <c r="C5" s="1">
        <v>64.29000000000001</v>
      </c>
      <c r="D5" s="1" t="s">
        <v>56</v>
      </c>
      <c r="E5" s="1">
        <v>21480818</v>
      </c>
      <c r="F5" s="1">
        <v>11.34</v>
      </c>
      <c r="G5" s="1">
        <v>0.29</v>
      </c>
      <c r="H5" s="1" t="s">
        <v>56</v>
      </c>
      <c r="I5" s="1">
        <v>179823</v>
      </c>
      <c r="J5" s="1">
        <v>48.39</v>
      </c>
      <c r="K5" s="1">
        <v>39.67</v>
      </c>
      <c r="L5" s="1" t="s">
        <v>56</v>
      </c>
      <c r="M5" s="1">
        <v>179813</v>
      </c>
      <c r="N5" s="1">
        <f>MIN($B5,$F5,$J5)</f>
        <v>0</v>
      </c>
      <c r="O5" s="1">
        <f>MIN($C5,$G5,$K5)</f>
        <v>0</v>
      </c>
      <c r="P5" s="1">
        <f>MIN($E5,$I5,$M5)</f>
        <v>0</v>
      </c>
      <c r="Q5" s="1">
        <f>MEDIAN($B5,$F5,$J5)</f>
        <v>0</v>
      </c>
      <c r="R5" s="1">
        <f>MEDIAN($C5,$G5,$K5)</f>
        <v>0</v>
      </c>
      <c r="S5" s="1">
        <f>MEDIAN($E5,$I5,$M5)</f>
        <v>0</v>
      </c>
      <c r="T5" s="1">
        <f>MAX($B5,$F5,$J5)</f>
        <v>0</v>
      </c>
      <c r="U5" s="1">
        <f>MAX($C5,$G5,$K5)</f>
        <v>0</v>
      </c>
      <c r="V5" s="1">
        <f>MAX($E5,$I5,$M5)</f>
        <v>0</v>
      </c>
    </row>
    <row r="6" spans="1:22">
      <c r="A6" s="1" t="s">
        <v>3</v>
      </c>
      <c r="B6" s="1">
        <v>306.2</v>
      </c>
      <c r="C6" s="1">
        <v>75.01000000000001</v>
      </c>
      <c r="D6" s="1" t="s">
        <v>56</v>
      </c>
      <c r="E6" s="1">
        <v>38411618</v>
      </c>
      <c r="F6" s="1">
        <v>9.15</v>
      </c>
      <c r="G6" s="1">
        <v>0.39</v>
      </c>
      <c r="H6" s="1" t="s">
        <v>56</v>
      </c>
      <c r="I6" s="1">
        <v>179823</v>
      </c>
      <c r="J6" s="1">
        <v>36.78</v>
      </c>
      <c r="K6" s="1">
        <v>28.59</v>
      </c>
      <c r="L6" s="1" t="s">
        <v>56</v>
      </c>
      <c r="M6" s="1">
        <v>179813</v>
      </c>
      <c r="N6" s="1">
        <f>MIN($B6,$F6,$J6)</f>
        <v>0</v>
      </c>
      <c r="O6" s="1">
        <f>MIN($C6,$G6,$K6)</f>
        <v>0</v>
      </c>
      <c r="P6" s="1">
        <f>MIN($E6,$I6,$M6)</f>
        <v>0</v>
      </c>
      <c r="Q6" s="1">
        <f>MEDIAN($B6,$F6,$J6)</f>
        <v>0</v>
      </c>
      <c r="R6" s="1">
        <f>MEDIAN($C6,$G6,$K6)</f>
        <v>0</v>
      </c>
      <c r="S6" s="1">
        <f>MEDIAN($E6,$I6,$M6)</f>
        <v>0</v>
      </c>
      <c r="T6" s="1">
        <f>MAX($B6,$F6,$J6)</f>
        <v>0</v>
      </c>
      <c r="U6" s="1">
        <f>MAX($C6,$G6,$K6)</f>
        <v>0</v>
      </c>
      <c r="V6" s="1">
        <f>MAX($E6,$I6,$M6)</f>
        <v>0</v>
      </c>
    </row>
    <row r="7" spans="1:22">
      <c r="A7" s="1" t="s">
        <v>4</v>
      </c>
      <c r="B7" s="1">
        <v>1200</v>
      </c>
      <c r="C7" s="1">
        <v>0</v>
      </c>
      <c r="D7" s="1" t="s">
        <v>57</v>
      </c>
      <c r="E7" s="1">
        <v>0</v>
      </c>
      <c r="F7" s="1">
        <v>8.75</v>
      </c>
      <c r="G7" s="1">
        <v>0.29</v>
      </c>
      <c r="H7" s="1" t="s">
        <v>56</v>
      </c>
      <c r="I7" s="1">
        <v>179823</v>
      </c>
      <c r="J7" s="1">
        <v>36.93</v>
      </c>
      <c r="K7" s="1">
        <v>28.96</v>
      </c>
      <c r="L7" s="1" t="s">
        <v>56</v>
      </c>
      <c r="M7" s="1">
        <v>179813</v>
      </c>
      <c r="N7" s="1">
        <f>MIN($B7,$F7,$J7)</f>
        <v>0</v>
      </c>
      <c r="O7" s="1">
        <f>MIN($C7,$G7,$K7)</f>
        <v>0</v>
      </c>
      <c r="P7" s="1">
        <f>MIN($E7,$I7,$M7)</f>
        <v>0</v>
      </c>
      <c r="Q7" s="1">
        <f>MEDIAN($B7,$F7,$J7)</f>
        <v>0</v>
      </c>
      <c r="R7" s="1">
        <f>MEDIAN($C7,$G7,$K7)</f>
        <v>0</v>
      </c>
      <c r="S7" s="1">
        <f>MEDIAN($E7,$I7,$M7)</f>
        <v>0</v>
      </c>
      <c r="T7" s="1">
        <f>MAX($B7,$F7,$J7)</f>
        <v>0</v>
      </c>
      <c r="U7" s="1">
        <f>MAX($C7,$G7,$K7)</f>
        <v>0</v>
      </c>
      <c r="V7" s="1">
        <f>MAX($E7,$I7,$M7)</f>
        <v>0</v>
      </c>
    </row>
    <row r="8" spans="1:22">
      <c r="A8" s="1" t="s">
        <v>5</v>
      </c>
      <c r="B8" s="1">
        <v>1200</v>
      </c>
      <c r="C8" s="1">
        <v>0</v>
      </c>
      <c r="D8" s="1" t="s">
        <v>57</v>
      </c>
      <c r="E8" s="1">
        <v>0</v>
      </c>
      <c r="F8" s="1">
        <v>10.09</v>
      </c>
      <c r="G8" s="1">
        <v>1</v>
      </c>
      <c r="H8" s="1" t="s">
        <v>56</v>
      </c>
      <c r="I8" s="1">
        <v>179823</v>
      </c>
      <c r="J8" s="1">
        <v>44.79</v>
      </c>
      <c r="K8" s="1">
        <v>36.57</v>
      </c>
      <c r="L8" s="1" t="s">
        <v>56</v>
      </c>
      <c r="M8" s="1">
        <v>179813</v>
      </c>
      <c r="N8" s="1">
        <f>MIN($B8,$F8,$J8)</f>
        <v>0</v>
      </c>
      <c r="O8" s="1">
        <f>MIN($C8,$G8,$K8)</f>
        <v>0</v>
      </c>
      <c r="P8" s="1">
        <f>MIN($E8,$I8,$M8)</f>
        <v>0</v>
      </c>
      <c r="Q8" s="1">
        <f>MEDIAN($B8,$F8,$J8)</f>
        <v>0</v>
      </c>
      <c r="R8" s="1">
        <f>MEDIAN($C8,$G8,$K8)</f>
        <v>0</v>
      </c>
      <c r="S8" s="1">
        <f>MEDIAN($E8,$I8,$M8)</f>
        <v>0</v>
      </c>
      <c r="T8" s="1">
        <f>MAX($B8,$F8,$J8)</f>
        <v>0</v>
      </c>
      <c r="U8" s="1">
        <f>MAX($C8,$G8,$K8)</f>
        <v>0</v>
      </c>
      <c r="V8" s="1">
        <f>MAX($E8,$I8,$M8)</f>
        <v>0</v>
      </c>
    </row>
    <row r="9" spans="1:22">
      <c r="A9" s="1" t="s">
        <v>6</v>
      </c>
      <c r="B9" s="1">
        <v>1200</v>
      </c>
      <c r="C9" s="1">
        <v>0</v>
      </c>
      <c r="D9" s="1" t="s">
        <v>57</v>
      </c>
      <c r="E9" s="1">
        <v>0</v>
      </c>
      <c r="F9" s="1">
        <v>10.84</v>
      </c>
      <c r="G9" s="1">
        <v>1.83</v>
      </c>
      <c r="H9" s="1" t="s">
        <v>56</v>
      </c>
      <c r="I9" s="1">
        <v>179823</v>
      </c>
      <c r="J9" s="1">
        <v>44.8</v>
      </c>
      <c r="K9" s="1">
        <v>35.76</v>
      </c>
      <c r="L9" s="1" t="s">
        <v>56</v>
      </c>
      <c r="M9" s="1">
        <v>179813</v>
      </c>
      <c r="N9" s="1">
        <f>MIN($B9,$F9,$J9)</f>
        <v>0</v>
      </c>
      <c r="O9" s="1">
        <f>MIN($C9,$G9,$K9)</f>
        <v>0</v>
      </c>
      <c r="P9" s="1">
        <f>MIN($E9,$I9,$M9)</f>
        <v>0</v>
      </c>
      <c r="Q9" s="1">
        <f>MEDIAN($B9,$F9,$J9)</f>
        <v>0</v>
      </c>
      <c r="R9" s="1">
        <f>MEDIAN($C9,$G9,$K9)</f>
        <v>0</v>
      </c>
      <c r="S9" s="1">
        <f>MEDIAN($E9,$I9,$M9)</f>
        <v>0</v>
      </c>
      <c r="T9" s="1">
        <f>MAX($B9,$F9,$J9)</f>
        <v>0</v>
      </c>
      <c r="U9" s="1">
        <f>MAX($C9,$G9,$K9)</f>
        <v>0</v>
      </c>
      <c r="V9" s="1">
        <f>MAX($E9,$I9,$M9)</f>
        <v>0</v>
      </c>
    </row>
    <row r="10" spans="1:22">
      <c r="A10" s="1" t="s">
        <v>7</v>
      </c>
      <c r="B10" s="1">
        <v>1200</v>
      </c>
      <c r="C10" s="1">
        <v>0</v>
      </c>
      <c r="D10" s="1" t="s">
        <v>57</v>
      </c>
      <c r="E10" s="1">
        <v>0</v>
      </c>
      <c r="F10" s="1">
        <v>9.880000000000001</v>
      </c>
      <c r="G10" s="1">
        <v>0.58</v>
      </c>
      <c r="H10" s="1" t="s">
        <v>56</v>
      </c>
      <c r="I10" s="1">
        <v>179823</v>
      </c>
      <c r="J10" s="1">
        <v>37.2</v>
      </c>
      <c r="K10" s="1">
        <v>28.45</v>
      </c>
      <c r="L10" s="1" t="s">
        <v>56</v>
      </c>
      <c r="M10" s="1">
        <v>179813</v>
      </c>
      <c r="N10" s="1">
        <f>MIN($B10,$F10,$J10)</f>
        <v>0</v>
      </c>
      <c r="O10" s="1">
        <f>MIN($C10,$G10,$K10)</f>
        <v>0</v>
      </c>
      <c r="P10" s="1">
        <f>MIN($E10,$I10,$M10)</f>
        <v>0</v>
      </c>
      <c r="Q10" s="1">
        <f>MEDIAN($B10,$F10,$J10)</f>
        <v>0</v>
      </c>
      <c r="R10" s="1">
        <f>MEDIAN($C10,$G10,$K10)</f>
        <v>0</v>
      </c>
      <c r="S10" s="1">
        <f>MEDIAN($E10,$I10,$M10)</f>
        <v>0</v>
      </c>
      <c r="T10" s="1">
        <f>MAX($B10,$F10,$J10)</f>
        <v>0</v>
      </c>
      <c r="U10" s="1">
        <f>MAX($C10,$G10,$K10)</f>
        <v>0</v>
      </c>
      <c r="V10" s="1">
        <f>MAX($E10,$I10,$M10)</f>
        <v>0</v>
      </c>
    </row>
    <row r="11" spans="1:22">
      <c r="A11" s="1" t="s">
        <v>8</v>
      </c>
      <c r="B11" s="1">
        <v>1200</v>
      </c>
      <c r="C11" s="1">
        <v>0</v>
      </c>
      <c r="D11" s="1" t="s">
        <v>57</v>
      </c>
      <c r="E11" s="1">
        <v>0</v>
      </c>
      <c r="F11" s="1">
        <v>11.31</v>
      </c>
      <c r="G11" s="1">
        <v>2.36</v>
      </c>
      <c r="H11" s="1" t="s">
        <v>56</v>
      </c>
      <c r="I11" s="1">
        <v>179823</v>
      </c>
      <c r="J11" s="1">
        <v>36.32</v>
      </c>
      <c r="K11" s="1">
        <v>28.64</v>
      </c>
      <c r="L11" s="1" t="s">
        <v>56</v>
      </c>
      <c r="M11" s="1">
        <v>179813</v>
      </c>
      <c r="N11" s="1">
        <f>MIN($B11,$F11,$J11)</f>
        <v>0</v>
      </c>
      <c r="O11" s="1">
        <f>MIN($C11,$G11,$K11)</f>
        <v>0</v>
      </c>
      <c r="P11" s="1">
        <f>MIN($E11,$I11,$M11)</f>
        <v>0</v>
      </c>
      <c r="Q11" s="1">
        <f>MEDIAN($B11,$F11,$J11)</f>
        <v>0</v>
      </c>
      <c r="R11" s="1">
        <f>MEDIAN($C11,$G11,$K11)</f>
        <v>0</v>
      </c>
      <c r="S11" s="1">
        <f>MEDIAN($E11,$I11,$M11)</f>
        <v>0</v>
      </c>
      <c r="T11" s="1">
        <f>MAX($B11,$F11,$J11)</f>
        <v>0</v>
      </c>
      <c r="U11" s="1">
        <f>MAX($C11,$G11,$K11)</f>
        <v>0</v>
      </c>
      <c r="V11" s="1">
        <f>MAX($E11,$I11,$M11)</f>
        <v>0</v>
      </c>
    </row>
    <row r="12" spans="1:22">
      <c r="A12" s="1" t="s">
        <v>9</v>
      </c>
      <c r="B12" s="1">
        <v>23.25</v>
      </c>
      <c r="C12" s="1">
        <v>3.96</v>
      </c>
      <c r="D12" s="1" t="s">
        <v>56</v>
      </c>
      <c r="E12" s="1">
        <v>2367957</v>
      </c>
      <c r="F12" s="1">
        <v>8.58</v>
      </c>
      <c r="G12" s="1">
        <v>0.21</v>
      </c>
      <c r="H12" s="1" t="s">
        <v>56</v>
      </c>
      <c r="I12" s="1">
        <v>179823</v>
      </c>
      <c r="J12" s="1">
        <v>42.87</v>
      </c>
      <c r="K12" s="1">
        <v>34.51</v>
      </c>
      <c r="L12" s="1" t="s">
        <v>56</v>
      </c>
      <c r="M12" s="1">
        <v>179813</v>
      </c>
      <c r="N12" s="1">
        <f>MIN($B12,$F12,$J12)</f>
        <v>0</v>
      </c>
      <c r="O12" s="1">
        <f>MIN($C12,$G12,$K12)</f>
        <v>0</v>
      </c>
      <c r="P12" s="1">
        <f>MIN($E12,$I12,$M12)</f>
        <v>0</v>
      </c>
      <c r="Q12" s="1">
        <f>MEDIAN($B12,$F12,$J12)</f>
        <v>0</v>
      </c>
      <c r="R12" s="1">
        <f>MEDIAN($C12,$G12,$K12)</f>
        <v>0</v>
      </c>
      <c r="S12" s="1">
        <f>MEDIAN($E12,$I12,$M12)</f>
        <v>0</v>
      </c>
      <c r="T12" s="1">
        <f>MAX($B12,$F12,$J12)</f>
        <v>0</v>
      </c>
      <c r="U12" s="1">
        <f>MAX($C12,$G12,$K12)</f>
        <v>0</v>
      </c>
      <c r="V12" s="1">
        <f>MAX($E12,$I12,$M12)</f>
        <v>0</v>
      </c>
    </row>
    <row r="13" spans="1:22">
      <c r="A13" s="1" t="s">
        <v>10</v>
      </c>
      <c r="B13" s="1">
        <v>1200</v>
      </c>
      <c r="C13" s="1">
        <v>0</v>
      </c>
      <c r="D13" s="1" t="s">
        <v>57</v>
      </c>
      <c r="E13" s="1">
        <v>0</v>
      </c>
      <c r="F13" s="1">
        <v>9.35</v>
      </c>
      <c r="G13" s="1">
        <v>0.65</v>
      </c>
      <c r="H13" s="1" t="s">
        <v>56</v>
      </c>
      <c r="I13" s="1">
        <v>179823</v>
      </c>
      <c r="J13" s="1">
        <v>36.89</v>
      </c>
      <c r="K13" s="1">
        <v>28.18</v>
      </c>
      <c r="L13" s="1" t="s">
        <v>56</v>
      </c>
      <c r="M13" s="1">
        <v>179813</v>
      </c>
      <c r="N13" s="1">
        <f>MIN($B13,$F13,$J13)</f>
        <v>0</v>
      </c>
      <c r="O13" s="1">
        <f>MIN($C13,$G13,$K13)</f>
        <v>0</v>
      </c>
      <c r="P13" s="1">
        <f>MIN($E13,$I13,$M13)</f>
        <v>0</v>
      </c>
      <c r="Q13" s="1">
        <f>MEDIAN($B13,$F13,$J13)</f>
        <v>0</v>
      </c>
      <c r="R13" s="1">
        <f>MEDIAN($C13,$G13,$K13)</f>
        <v>0</v>
      </c>
      <c r="S13" s="1">
        <f>MEDIAN($E13,$I13,$M13)</f>
        <v>0</v>
      </c>
      <c r="T13" s="1">
        <f>MAX($B13,$F13,$J13)</f>
        <v>0</v>
      </c>
      <c r="U13" s="1">
        <f>MAX($C13,$G13,$K13)</f>
        <v>0</v>
      </c>
      <c r="V13" s="1">
        <f>MAX($E13,$I13,$M13)</f>
        <v>0</v>
      </c>
    </row>
    <row r="14" spans="1:22">
      <c r="A14" s="1" t="s">
        <v>11</v>
      </c>
      <c r="B14" s="1">
        <v>13.03</v>
      </c>
      <c r="C14" s="1">
        <v>0.11</v>
      </c>
      <c r="D14" s="1" t="s">
        <v>56</v>
      </c>
      <c r="E14" s="1">
        <v>380111</v>
      </c>
      <c r="F14" s="1">
        <v>10.53</v>
      </c>
      <c r="G14" s="1">
        <v>0.5</v>
      </c>
      <c r="H14" s="1" t="s">
        <v>56</v>
      </c>
      <c r="I14" s="1">
        <v>338410</v>
      </c>
      <c r="J14" s="1">
        <v>18.58</v>
      </c>
      <c r="K14" s="1">
        <v>8.460000000000001</v>
      </c>
      <c r="L14" s="1" t="s">
        <v>56</v>
      </c>
      <c r="M14" s="1">
        <v>338400</v>
      </c>
      <c r="N14" s="1">
        <f>MIN($B14,$F14,$J14)</f>
        <v>0</v>
      </c>
      <c r="O14" s="1">
        <f>MIN($C14,$G14,$K14)</f>
        <v>0</v>
      </c>
      <c r="P14" s="1">
        <f>MIN($E14,$I14,$M14)</f>
        <v>0</v>
      </c>
      <c r="Q14" s="1">
        <f>MEDIAN($B14,$F14,$J14)</f>
        <v>0</v>
      </c>
      <c r="R14" s="1">
        <f>MEDIAN($C14,$G14,$K14)</f>
        <v>0</v>
      </c>
      <c r="S14" s="1">
        <f>MEDIAN($E14,$I14,$M14)</f>
        <v>0</v>
      </c>
      <c r="T14" s="1">
        <f>MAX($B14,$F14,$J14)</f>
        <v>0</v>
      </c>
      <c r="U14" s="1">
        <f>MAX($C14,$G14,$K14)</f>
        <v>0</v>
      </c>
      <c r="V14" s="1">
        <f>MAX($E14,$I14,$M14)</f>
        <v>0</v>
      </c>
    </row>
    <row r="15" spans="1:22">
      <c r="A15" s="1" t="s">
        <v>12</v>
      </c>
      <c r="B15" s="1">
        <v>806.08</v>
      </c>
      <c r="C15" s="1">
        <v>751.47</v>
      </c>
      <c r="D15" s="1" t="s">
        <v>56</v>
      </c>
      <c r="E15" s="1">
        <v>9622831</v>
      </c>
      <c r="F15" s="1">
        <v>18.14</v>
      </c>
      <c r="G15" s="1">
        <v>8.17</v>
      </c>
      <c r="H15" s="1" t="s">
        <v>56</v>
      </c>
      <c r="I15" s="1">
        <v>338521</v>
      </c>
      <c r="J15" s="1">
        <v>130.93</v>
      </c>
      <c r="K15" s="1">
        <v>119.86</v>
      </c>
      <c r="L15" s="1" t="s">
        <v>56</v>
      </c>
      <c r="M15" s="1">
        <v>338511</v>
      </c>
      <c r="N15" s="1">
        <f>MIN($B15,$F15,$J15)</f>
        <v>0</v>
      </c>
      <c r="O15" s="1">
        <f>MIN($C15,$G15,$K15)</f>
        <v>0</v>
      </c>
      <c r="P15" s="1">
        <f>MIN($E15,$I15,$M15)</f>
        <v>0</v>
      </c>
      <c r="Q15" s="1">
        <f>MEDIAN($B15,$F15,$J15)</f>
        <v>0</v>
      </c>
      <c r="R15" s="1">
        <f>MEDIAN($C15,$G15,$K15)</f>
        <v>0</v>
      </c>
      <c r="S15" s="1">
        <f>MEDIAN($E15,$I15,$M15)</f>
        <v>0</v>
      </c>
      <c r="T15" s="1">
        <f>MAX($B15,$F15,$J15)</f>
        <v>0</v>
      </c>
      <c r="U15" s="1">
        <f>MAX($C15,$G15,$K15)</f>
        <v>0</v>
      </c>
      <c r="V15" s="1">
        <f>MAX($E15,$I15,$M15)</f>
        <v>0</v>
      </c>
    </row>
    <row r="16" spans="1:22">
      <c r="A16" s="1" t="s">
        <v>13</v>
      </c>
      <c r="B16" s="1">
        <v>1200</v>
      </c>
      <c r="C16" s="1"/>
      <c r="D16" s="1"/>
      <c r="E16" s="1"/>
      <c r="F16" s="1">
        <v>15.68</v>
      </c>
      <c r="G16" s="1">
        <v>5.31</v>
      </c>
      <c r="H16" s="1" t="s">
        <v>56</v>
      </c>
      <c r="I16" s="1">
        <v>338521</v>
      </c>
      <c r="J16" s="1">
        <v>127.57</v>
      </c>
      <c r="K16" s="1">
        <v>117.04</v>
      </c>
      <c r="L16" s="1" t="s">
        <v>56</v>
      </c>
      <c r="M16" s="1">
        <v>338511</v>
      </c>
      <c r="N16" s="1">
        <f>MIN($B16,$F16,$J16)</f>
        <v>0</v>
      </c>
      <c r="O16" s="1">
        <f>MIN($C16,$G16,$K16)</f>
        <v>0</v>
      </c>
      <c r="P16" s="1">
        <f>MIN($E16,$I16,$M16)</f>
        <v>0</v>
      </c>
      <c r="Q16" s="1">
        <f>MEDIAN($B16,$F16,$J16)</f>
        <v>0</v>
      </c>
      <c r="R16" s="1">
        <f>MEDIAN($C16,$G16,$K16)</f>
        <v>0</v>
      </c>
      <c r="S16" s="1">
        <f>MEDIAN($E16,$I16,$M16)</f>
        <v>0</v>
      </c>
      <c r="T16" s="1">
        <f>MAX($B16,$F16,$J16)</f>
        <v>0</v>
      </c>
      <c r="U16" s="1">
        <f>MAX($C16,$G16,$K16)</f>
        <v>0</v>
      </c>
      <c r="V16" s="1">
        <f>MAX($E16,$I16,$M16)</f>
        <v>0</v>
      </c>
    </row>
    <row r="17" spans="1:22">
      <c r="A17" s="1" t="s">
        <v>14</v>
      </c>
      <c r="B17" s="1">
        <v>1200</v>
      </c>
      <c r="C17" s="1"/>
      <c r="D17" s="1" t="s">
        <v>57</v>
      </c>
      <c r="E17" s="1"/>
      <c r="F17" s="1">
        <v>28.72</v>
      </c>
      <c r="G17" s="1">
        <v>18.36</v>
      </c>
      <c r="H17" s="1" t="s">
        <v>56</v>
      </c>
      <c r="I17" s="1">
        <v>338521</v>
      </c>
      <c r="J17" s="1">
        <v>94.13</v>
      </c>
      <c r="K17" s="1">
        <v>84.40000000000001</v>
      </c>
      <c r="L17" s="1" t="s">
        <v>56</v>
      </c>
      <c r="M17" s="1">
        <v>338511</v>
      </c>
      <c r="N17" s="1">
        <f>MIN($B17,$F17,$J17)</f>
        <v>0</v>
      </c>
      <c r="O17" s="1">
        <f>MIN($C17,$G17,$K17)</f>
        <v>0</v>
      </c>
      <c r="P17" s="1">
        <f>MIN($E17,$I17,$M17)</f>
        <v>0</v>
      </c>
      <c r="Q17" s="1">
        <f>MEDIAN($B17,$F17,$J17)</f>
        <v>0</v>
      </c>
      <c r="R17" s="1">
        <f>MEDIAN($C17,$G17,$K17)</f>
        <v>0</v>
      </c>
      <c r="S17" s="1">
        <f>MEDIAN($E17,$I17,$M17)</f>
        <v>0</v>
      </c>
      <c r="T17" s="1">
        <f>MAX($B17,$F17,$J17)</f>
        <v>0</v>
      </c>
      <c r="U17" s="1">
        <f>MAX($C17,$G17,$K17)</f>
        <v>0</v>
      </c>
      <c r="V17" s="1">
        <f>MAX($E17,$I17,$M17)</f>
        <v>0</v>
      </c>
    </row>
    <row r="18" spans="1:22">
      <c r="A18" s="1" t="s">
        <v>15</v>
      </c>
      <c r="B18" s="1">
        <v>1200</v>
      </c>
      <c r="C18" s="1">
        <v>0</v>
      </c>
      <c r="D18" s="1" t="s">
        <v>57</v>
      </c>
      <c r="E18" s="1">
        <v>0</v>
      </c>
      <c r="F18" s="1">
        <v>16.45</v>
      </c>
      <c r="G18" s="1">
        <v>5.65</v>
      </c>
      <c r="H18" s="1" t="s">
        <v>56</v>
      </c>
      <c r="I18" s="1">
        <v>338521</v>
      </c>
      <c r="J18" s="1">
        <v>94.08</v>
      </c>
      <c r="K18" s="1">
        <v>84.58</v>
      </c>
      <c r="L18" s="1" t="s">
        <v>56</v>
      </c>
      <c r="M18" s="1">
        <v>338511</v>
      </c>
      <c r="N18" s="1">
        <f>MIN($B18,$F18,$J18)</f>
        <v>0</v>
      </c>
      <c r="O18" s="1">
        <f>MIN($C18,$G18,$K18)</f>
        <v>0</v>
      </c>
      <c r="P18" s="1">
        <f>MIN($E18,$I18,$M18)</f>
        <v>0</v>
      </c>
      <c r="Q18" s="1">
        <f>MEDIAN($B18,$F18,$J18)</f>
        <v>0</v>
      </c>
      <c r="R18" s="1">
        <f>MEDIAN($C18,$G18,$K18)</f>
        <v>0</v>
      </c>
      <c r="S18" s="1">
        <f>MEDIAN($E18,$I18,$M18)</f>
        <v>0</v>
      </c>
      <c r="T18" s="1">
        <f>MAX($B18,$F18,$J18)</f>
        <v>0</v>
      </c>
      <c r="U18" s="1">
        <f>MAX($C18,$G18,$K18)</f>
        <v>0</v>
      </c>
      <c r="V18" s="1">
        <f>MAX($E18,$I18,$M18)</f>
        <v>0</v>
      </c>
    </row>
    <row r="19" spans="1:22">
      <c r="A19" s="1" t="s">
        <v>16</v>
      </c>
      <c r="B19" s="1">
        <v>1200</v>
      </c>
      <c r="C19" s="1">
        <v>0</v>
      </c>
      <c r="D19" s="1" t="s">
        <v>57</v>
      </c>
      <c r="E19" s="1">
        <v>0</v>
      </c>
      <c r="F19" s="1">
        <v>50.52</v>
      </c>
      <c r="G19" s="1">
        <v>40.37</v>
      </c>
      <c r="H19" s="1" t="s">
        <v>56</v>
      </c>
      <c r="I19" s="1">
        <v>338521</v>
      </c>
      <c r="J19" s="1">
        <v>102.96</v>
      </c>
      <c r="K19" s="1">
        <v>92.95</v>
      </c>
      <c r="L19" s="1" t="s">
        <v>56</v>
      </c>
      <c r="M19" s="1">
        <v>338511</v>
      </c>
      <c r="N19" s="1">
        <f>MIN($B19,$F19,$J19)</f>
        <v>0</v>
      </c>
      <c r="O19" s="1">
        <f>MIN($C19,$G19,$K19)</f>
        <v>0</v>
      </c>
      <c r="P19" s="1">
        <f>MIN($E19,$I19,$M19)</f>
        <v>0</v>
      </c>
      <c r="Q19" s="1">
        <f>MEDIAN($B19,$F19,$J19)</f>
        <v>0</v>
      </c>
      <c r="R19" s="1">
        <f>MEDIAN($C19,$G19,$K19)</f>
        <v>0</v>
      </c>
      <c r="S19" s="1">
        <f>MEDIAN($E19,$I19,$M19)</f>
        <v>0</v>
      </c>
      <c r="T19" s="1">
        <f>MAX($B19,$F19,$J19)</f>
        <v>0</v>
      </c>
      <c r="U19" s="1">
        <f>MAX($C19,$G19,$K19)</f>
        <v>0</v>
      </c>
      <c r="V19" s="1">
        <f>MAX($E19,$I19,$M19)</f>
        <v>0</v>
      </c>
    </row>
    <row r="20" spans="1:22">
      <c r="A20" s="1" t="s">
        <v>17</v>
      </c>
      <c r="B20" s="1">
        <v>1200</v>
      </c>
      <c r="C20" s="1">
        <v>0</v>
      </c>
      <c r="D20" s="1" t="s">
        <v>57</v>
      </c>
      <c r="E20" s="1">
        <v>0</v>
      </c>
      <c r="F20" s="1">
        <v>35.83</v>
      </c>
      <c r="G20" s="1">
        <v>25.64</v>
      </c>
      <c r="H20" s="1" t="s">
        <v>56</v>
      </c>
      <c r="I20" s="1">
        <v>338521</v>
      </c>
      <c r="J20" s="1">
        <v>127.13</v>
      </c>
      <c r="K20" s="1">
        <v>116.78</v>
      </c>
      <c r="L20" s="1" t="s">
        <v>56</v>
      </c>
      <c r="M20" s="1">
        <v>338511</v>
      </c>
      <c r="N20" s="1">
        <f>MIN($B20,$F20,$J20)</f>
        <v>0</v>
      </c>
      <c r="O20" s="1">
        <f>MIN($C20,$G20,$K20)</f>
        <v>0</v>
      </c>
      <c r="P20" s="1">
        <f>MIN($E20,$I20,$M20)</f>
        <v>0</v>
      </c>
      <c r="Q20" s="1">
        <f>MEDIAN($B20,$F20,$J20)</f>
        <v>0</v>
      </c>
      <c r="R20" s="1">
        <f>MEDIAN($C20,$G20,$K20)</f>
        <v>0</v>
      </c>
      <c r="S20" s="1">
        <f>MEDIAN($E20,$I20,$M20)</f>
        <v>0</v>
      </c>
      <c r="T20" s="1">
        <f>MAX($B20,$F20,$J20)</f>
        <v>0</v>
      </c>
      <c r="U20" s="1">
        <f>MAX($C20,$G20,$K20)</f>
        <v>0</v>
      </c>
      <c r="V20" s="1">
        <f>MAX($E20,$I20,$M20)</f>
        <v>0</v>
      </c>
    </row>
    <row r="21" spans="1:22">
      <c r="A21" s="1" t="s">
        <v>18</v>
      </c>
      <c r="B21" s="1">
        <v>1200</v>
      </c>
      <c r="C21" s="1">
        <v>0</v>
      </c>
      <c r="D21" s="1" t="s">
        <v>57</v>
      </c>
      <c r="E21" s="1">
        <v>0</v>
      </c>
      <c r="F21" s="1">
        <v>30.93</v>
      </c>
      <c r="G21" s="1">
        <v>20.8</v>
      </c>
      <c r="H21" s="1" t="s">
        <v>56</v>
      </c>
      <c r="I21" s="1">
        <v>338521</v>
      </c>
      <c r="J21" s="1">
        <v>101.58</v>
      </c>
      <c r="K21" s="1">
        <v>90.92</v>
      </c>
      <c r="L21" s="1" t="s">
        <v>56</v>
      </c>
      <c r="M21" s="1">
        <v>338511</v>
      </c>
      <c r="N21" s="1">
        <f>MIN($B21,$F21,$J21)</f>
        <v>0</v>
      </c>
      <c r="O21" s="1">
        <f>MIN($C21,$G21,$K21)</f>
        <v>0</v>
      </c>
      <c r="P21" s="1">
        <f>MIN($E21,$I21,$M21)</f>
        <v>0</v>
      </c>
      <c r="Q21" s="1">
        <f>MEDIAN($B21,$F21,$J21)</f>
        <v>0</v>
      </c>
      <c r="R21" s="1">
        <f>MEDIAN($C21,$G21,$K21)</f>
        <v>0</v>
      </c>
      <c r="S21" s="1">
        <f>MEDIAN($E21,$I21,$M21)</f>
        <v>0</v>
      </c>
      <c r="T21" s="1">
        <f>MAX($B21,$F21,$J21)</f>
        <v>0</v>
      </c>
      <c r="U21" s="1">
        <f>MAX($C21,$G21,$K21)</f>
        <v>0</v>
      </c>
      <c r="V21" s="1">
        <f>MAX($E21,$I21,$M21)</f>
        <v>0</v>
      </c>
    </row>
    <row r="22" spans="1:22">
      <c r="A22" s="1" t="s">
        <v>19</v>
      </c>
      <c r="B22" s="1">
        <v>1200</v>
      </c>
      <c r="C22" s="1">
        <v>0</v>
      </c>
      <c r="D22" s="1" t="s">
        <v>57</v>
      </c>
      <c r="E22" s="1">
        <v>0</v>
      </c>
      <c r="F22" s="1">
        <v>12.59</v>
      </c>
      <c r="G22" s="1">
        <v>2.86</v>
      </c>
      <c r="H22" s="1" t="s">
        <v>56</v>
      </c>
      <c r="I22" s="1">
        <v>338521</v>
      </c>
      <c r="J22" s="1">
        <v>126.24</v>
      </c>
      <c r="K22" s="1">
        <v>115.53</v>
      </c>
      <c r="L22" s="1" t="s">
        <v>56</v>
      </c>
      <c r="M22" s="1">
        <v>338511</v>
      </c>
      <c r="N22" s="1">
        <f>MIN($B22,$F22,$J22)</f>
        <v>0</v>
      </c>
      <c r="O22" s="1">
        <f>MIN($C22,$G22,$K22)</f>
        <v>0</v>
      </c>
      <c r="P22" s="1">
        <f>MIN($E22,$I22,$M22)</f>
        <v>0</v>
      </c>
      <c r="Q22" s="1">
        <f>MEDIAN($B22,$F22,$J22)</f>
        <v>0</v>
      </c>
      <c r="R22" s="1">
        <f>MEDIAN($C22,$G22,$K22)</f>
        <v>0</v>
      </c>
      <c r="S22" s="1">
        <f>MEDIAN($E22,$I22,$M22)</f>
        <v>0</v>
      </c>
      <c r="T22" s="1">
        <f>MAX($B22,$F22,$J22)</f>
        <v>0</v>
      </c>
      <c r="U22" s="1">
        <f>MAX($C22,$G22,$K22)</f>
        <v>0</v>
      </c>
      <c r="V22" s="1">
        <f>MAX($E22,$I22,$M22)</f>
        <v>0</v>
      </c>
    </row>
    <row r="23" spans="1:22">
      <c r="A23" s="1" t="s">
        <v>20</v>
      </c>
      <c r="B23" s="1">
        <v>376.94</v>
      </c>
      <c r="C23" s="1">
        <v>355.09</v>
      </c>
      <c r="D23" s="1" t="s">
        <v>56</v>
      </c>
      <c r="E23" s="1">
        <v>2524520</v>
      </c>
      <c r="F23" s="1">
        <v>23.81</v>
      </c>
      <c r="G23" s="1">
        <v>12.83</v>
      </c>
      <c r="H23" s="1" t="s">
        <v>56</v>
      </c>
      <c r="I23" s="1">
        <v>338521</v>
      </c>
      <c r="J23" s="1">
        <v>111.76</v>
      </c>
      <c r="K23" s="1">
        <v>101.99</v>
      </c>
      <c r="L23" s="1" t="s">
        <v>56</v>
      </c>
      <c r="M23" s="1">
        <v>338511</v>
      </c>
      <c r="N23" s="1">
        <f>MIN($B23,$F23,$J23)</f>
        <v>0</v>
      </c>
      <c r="O23" s="1">
        <f>MIN($C23,$G23,$K23)</f>
        <v>0</v>
      </c>
      <c r="P23" s="1">
        <f>MIN($E23,$I23,$M23)</f>
        <v>0</v>
      </c>
      <c r="Q23" s="1">
        <f>MEDIAN($B23,$F23,$J23)</f>
        <v>0</v>
      </c>
      <c r="R23" s="1">
        <f>MEDIAN($C23,$G23,$K23)</f>
        <v>0</v>
      </c>
      <c r="S23" s="1">
        <f>MEDIAN($E23,$I23,$M23)</f>
        <v>0</v>
      </c>
      <c r="T23" s="1">
        <f>MAX($B23,$F23,$J23)</f>
        <v>0</v>
      </c>
      <c r="U23" s="1">
        <f>MAX($C23,$G23,$K23)</f>
        <v>0</v>
      </c>
      <c r="V23" s="1">
        <f>MAX($E23,$I23,$M23)</f>
        <v>0</v>
      </c>
    </row>
    <row r="24" spans="1:22">
      <c r="A24" s="1" t="s">
        <v>21</v>
      </c>
      <c r="B24" s="1">
        <v>1200</v>
      </c>
      <c r="C24" s="1">
        <v>0</v>
      </c>
      <c r="D24" s="1" t="s">
        <v>57</v>
      </c>
      <c r="E24" s="1">
        <v>0</v>
      </c>
      <c r="F24" s="1">
        <v>17.86</v>
      </c>
      <c r="G24" s="1">
        <v>7.93</v>
      </c>
      <c r="H24" s="1" t="s">
        <v>56</v>
      </c>
      <c r="I24" s="1">
        <v>338521</v>
      </c>
      <c r="J24" s="1">
        <v>123.47</v>
      </c>
      <c r="K24" s="1">
        <v>112.93</v>
      </c>
      <c r="L24" s="1" t="s">
        <v>56</v>
      </c>
      <c r="M24" s="1">
        <v>338511</v>
      </c>
      <c r="N24" s="1">
        <f>MIN($B24,$F24,$J24)</f>
        <v>0</v>
      </c>
      <c r="O24" s="1">
        <f>MIN($C24,$G24,$K24)</f>
        <v>0</v>
      </c>
      <c r="P24" s="1">
        <f>MIN($E24,$I24,$M24)</f>
        <v>0</v>
      </c>
      <c r="Q24" s="1">
        <f>MEDIAN($B24,$F24,$J24)</f>
        <v>0</v>
      </c>
      <c r="R24" s="1">
        <f>MEDIAN($C24,$G24,$K24)</f>
        <v>0</v>
      </c>
      <c r="S24" s="1">
        <f>MEDIAN($E24,$I24,$M24)</f>
        <v>0</v>
      </c>
      <c r="T24" s="1">
        <f>MAX($B24,$F24,$J24)</f>
        <v>0</v>
      </c>
      <c r="U24" s="1">
        <f>MAX($C24,$G24,$K24)</f>
        <v>0</v>
      </c>
      <c r="V24" s="1">
        <f>MAX($E24,$I24,$M24)</f>
        <v>0</v>
      </c>
    </row>
    <row r="25" spans="1:22">
      <c r="A25" s="1" t="s">
        <v>22</v>
      </c>
      <c r="B25" s="1">
        <v>16.57</v>
      </c>
      <c r="C25" s="1">
        <v>3.05</v>
      </c>
      <c r="D25" s="1" t="s">
        <v>56</v>
      </c>
      <c r="E25" s="1">
        <v>538294</v>
      </c>
      <c r="F25" s="1">
        <v>13.96</v>
      </c>
      <c r="G25" s="1">
        <v>1.48</v>
      </c>
      <c r="H25" s="1" t="s">
        <v>56</v>
      </c>
      <c r="I25" s="1">
        <v>498728</v>
      </c>
      <c r="J25" s="1">
        <v>16.63</v>
      </c>
      <c r="K25" s="1">
        <v>4.97</v>
      </c>
      <c r="L25" s="1" t="s">
        <v>56</v>
      </c>
      <c r="M25" s="1">
        <v>498718</v>
      </c>
      <c r="N25" s="1">
        <f>MIN($B25,$F25,$J25)</f>
        <v>0</v>
      </c>
      <c r="O25" s="1">
        <f>MIN($C25,$G25,$K25)</f>
        <v>0</v>
      </c>
      <c r="P25" s="1">
        <f>MIN($E25,$I25,$M25)</f>
        <v>0</v>
      </c>
      <c r="Q25" s="1">
        <f>MEDIAN($B25,$F25,$J25)</f>
        <v>0</v>
      </c>
      <c r="R25" s="1">
        <f>MEDIAN($C25,$G25,$K25)</f>
        <v>0</v>
      </c>
      <c r="S25" s="1">
        <f>MEDIAN($E25,$I25,$M25)</f>
        <v>0</v>
      </c>
      <c r="T25" s="1">
        <f>MAX($B25,$F25,$J25)</f>
        <v>0</v>
      </c>
      <c r="U25" s="1">
        <f>MAX($C25,$G25,$K25)</f>
        <v>0</v>
      </c>
      <c r="V25" s="1">
        <f>MAX($E25,$I25,$M25)</f>
        <v>0</v>
      </c>
    </row>
    <row r="26" spans="1:22">
      <c r="A26" s="1" t="s">
        <v>23</v>
      </c>
      <c r="B26" s="1">
        <v>1200</v>
      </c>
      <c r="C26" s="1">
        <v>1146.41</v>
      </c>
      <c r="D26" s="1" t="s">
        <v>57</v>
      </c>
      <c r="E26" s="1">
        <v>9781014</v>
      </c>
      <c r="F26" s="1">
        <v>69.52</v>
      </c>
      <c r="G26" s="1">
        <v>57.23</v>
      </c>
      <c r="H26" s="1" t="s">
        <v>56</v>
      </c>
      <c r="I26" s="1">
        <v>498839</v>
      </c>
      <c r="J26" s="1">
        <v>156.78</v>
      </c>
      <c r="K26" s="1">
        <v>145.07</v>
      </c>
      <c r="L26" s="1" t="s">
        <v>56</v>
      </c>
      <c r="M26" s="1">
        <v>498829</v>
      </c>
      <c r="N26" s="1">
        <f>MIN($B26,$F26,$J26)</f>
        <v>0</v>
      </c>
      <c r="O26" s="1">
        <f>MIN($C26,$G26,$K26)</f>
        <v>0</v>
      </c>
      <c r="P26" s="1">
        <f>MIN($E26,$I26,$M26)</f>
        <v>0</v>
      </c>
      <c r="Q26" s="1">
        <f>MEDIAN($B26,$F26,$J26)</f>
        <v>0</v>
      </c>
      <c r="R26" s="1">
        <f>MEDIAN($C26,$G26,$K26)</f>
        <v>0</v>
      </c>
      <c r="S26" s="1">
        <f>MEDIAN($E26,$I26,$M26)</f>
        <v>0</v>
      </c>
      <c r="T26" s="1">
        <f>MAX($B26,$F26,$J26)</f>
        <v>0</v>
      </c>
      <c r="U26" s="1">
        <f>MAX($C26,$G26,$K26)</f>
        <v>0</v>
      </c>
      <c r="V26" s="1">
        <f>MAX($E26,$I26,$M26)</f>
        <v>0</v>
      </c>
    </row>
    <row r="27" spans="1:22">
      <c r="A27" s="1" t="s">
        <v>24</v>
      </c>
      <c r="B27" s="1">
        <v>1200</v>
      </c>
      <c r="C27" s="1"/>
      <c r="D27" s="1"/>
      <c r="E27" s="1"/>
      <c r="F27" s="1">
        <v>24.82</v>
      </c>
      <c r="G27" s="1">
        <v>10.48</v>
      </c>
      <c r="H27" s="1" t="s">
        <v>56</v>
      </c>
      <c r="I27" s="1">
        <v>498839</v>
      </c>
      <c r="J27" s="1">
        <v>193.44</v>
      </c>
      <c r="K27" s="1">
        <v>180.24</v>
      </c>
      <c r="L27" s="1" t="s">
        <v>56</v>
      </c>
      <c r="M27" s="1">
        <v>498829</v>
      </c>
      <c r="N27" s="1">
        <f>MIN($B27,$F27,$J27)</f>
        <v>0</v>
      </c>
      <c r="O27" s="1">
        <f>MIN($C27,$G27,$K27)</f>
        <v>0</v>
      </c>
      <c r="P27" s="1">
        <f>MIN($E27,$I27,$M27)</f>
        <v>0</v>
      </c>
      <c r="Q27" s="1">
        <f>MEDIAN($B27,$F27,$J27)</f>
        <v>0</v>
      </c>
      <c r="R27" s="1">
        <f>MEDIAN($C27,$G27,$K27)</f>
        <v>0</v>
      </c>
      <c r="S27" s="1">
        <f>MEDIAN($E27,$I27,$M27)</f>
        <v>0</v>
      </c>
      <c r="T27" s="1">
        <f>MAX($B27,$F27,$J27)</f>
        <v>0</v>
      </c>
      <c r="U27" s="1">
        <f>MAX($C27,$G27,$K27)</f>
        <v>0</v>
      </c>
      <c r="V27" s="1">
        <f>MAX($E27,$I27,$M27)</f>
        <v>0</v>
      </c>
    </row>
    <row r="28" spans="1:22">
      <c r="A28" s="1" t="s">
        <v>25</v>
      </c>
      <c r="B28" s="1">
        <v>1200</v>
      </c>
      <c r="C28" s="1"/>
      <c r="D28" s="1" t="s">
        <v>57</v>
      </c>
      <c r="E28" s="1"/>
      <c r="F28" s="1">
        <v>18.39</v>
      </c>
      <c r="G28" s="1">
        <v>6.03</v>
      </c>
      <c r="H28" s="1" t="s">
        <v>56</v>
      </c>
      <c r="I28" s="1">
        <v>498839</v>
      </c>
      <c r="J28" s="1">
        <v>148.25</v>
      </c>
      <c r="K28" s="1">
        <v>137.08</v>
      </c>
      <c r="L28" s="1" t="s">
        <v>56</v>
      </c>
      <c r="M28" s="1">
        <v>498829</v>
      </c>
      <c r="N28" s="1">
        <f>MIN($B28,$F28,$J28)</f>
        <v>0</v>
      </c>
      <c r="O28" s="1">
        <f>MIN($C28,$G28,$K28)</f>
        <v>0</v>
      </c>
      <c r="P28" s="1">
        <f>MIN($E28,$I28,$M28)</f>
        <v>0</v>
      </c>
      <c r="Q28" s="1">
        <f>MEDIAN($B28,$F28,$J28)</f>
        <v>0</v>
      </c>
      <c r="R28" s="1">
        <f>MEDIAN($C28,$G28,$K28)</f>
        <v>0</v>
      </c>
      <c r="S28" s="1">
        <f>MEDIAN($E28,$I28,$M28)</f>
        <v>0</v>
      </c>
      <c r="T28" s="1">
        <f>MAX($B28,$F28,$J28)</f>
        <v>0</v>
      </c>
      <c r="U28" s="1">
        <f>MAX($C28,$G28,$K28)</f>
        <v>0</v>
      </c>
      <c r="V28" s="1">
        <f>MAX($E28,$I28,$M28)</f>
        <v>0</v>
      </c>
    </row>
    <row r="29" spans="1:22">
      <c r="A29" s="1" t="s">
        <v>26</v>
      </c>
      <c r="B29" s="1">
        <v>1200</v>
      </c>
      <c r="C29" s="1">
        <v>0</v>
      </c>
      <c r="D29" s="1" t="s">
        <v>57</v>
      </c>
      <c r="E29" s="1">
        <v>0</v>
      </c>
      <c r="F29" s="1">
        <v>19.83</v>
      </c>
      <c r="G29" s="1">
        <v>7.79</v>
      </c>
      <c r="H29" s="1" t="s">
        <v>56</v>
      </c>
      <c r="I29" s="1">
        <v>498839</v>
      </c>
      <c r="J29" s="1">
        <v>199.89</v>
      </c>
      <c r="K29" s="1">
        <v>186.56</v>
      </c>
      <c r="L29" s="1" t="s">
        <v>56</v>
      </c>
      <c r="M29" s="1">
        <v>498829</v>
      </c>
      <c r="N29" s="1">
        <f>MIN($B29,$F29,$J29)</f>
        <v>0</v>
      </c>
      <c r="O29" s="1">
        <f>MIN($C29,$G29,$K29)</f>
        <v>0</v>
      </c>
      <c r="P29" s="1">
        <f>MIN($E29,$I29,$M29)</f>
        <v>0</v>
      </c>
      <c r="Q29" s="1">
        <f>MEDIAN($B29,$F29,$J29)</f>
        <v>0</v>
      </c>
      <c r="R29" s="1">
        <f>MEDIAN($C29,$G29,$K29)</f>
        <v>0</v>
      </c>
      <c r="S29" s="1">
        <f>MEDIAN($E29,$I29,$M29)</f>
        <v>0</v>
      </c>
      <c r="T29" s="1">
        <f>MAX($B29,$F29,$J29)</f>
        <v>0</v>
      </c>
      <c r="U29" s="1">
        <f>MAX($C29,$G29,$K29)</f>
        <v>0</v>
      </c>
      <c r="V29" s="1">
        <f>MAX($E29,$I29,$M29)</f>
        <v>0</v>
      </c>
    </row>
    <row r="30" spans="1:22">
      <c r="A30" s="1" t="s">
        <v>27</v>
      </c>
      <c r="B30" s="1">
        <v>1200</v>
      </c>
      <c r="C30" s="1">
        <v>0</v>
      </c>
      <c r="D30" s="1" t="s">
        <v>57</v>
      </c>
      <c r="E30" s="1">
        <v>0</v>
      </c>
      <c r="F30" s="1">
        <v>32.95</v>
      </c>
      <c r="G30" s="1">
        <v>20.96</v>
      </c>
      <c r="H30" s="1" t="s">
        <v>56</v>
      </c>
      <c r="I30" s="1">
        <v>498839</v>
      </c>
      <c r="J30" s="1">
        <v>164.17</v>
      </c>
      <c r="K30" s="1">
        <v>151</v>
      </c>
      <c r="L30" s="1" t="s">
        <v>56</v>
      </c>
      <c r="M30" s="1">
        <v>498829</v>
      </c>
      <c r="N30" s="1">
        <f>MIN($B30,$F30,$J30)</f>
        <v>0</v>
      </c>
      <c r="O30" s="1">
        <f>MIN($C30,$G30,$K30)</f>
        <v>0</v>
      </c>
      <c r="P30" s="1">
        <f>MIN($E30,$I30,$M30)</f>
        <v>0</v>
      </c>
      <c r="Q30" s="1">
        <f>MEDIAN($B30,$F30,$J30)</f>
        <v>0</v>
      </c>
      <c r="R30" s="1">
        <f>MEDIAN($C30,$G30,$K30)</f>
        <v>0</v>
      </c>
      <c r="S30" s="1">
        <f>MEDIAN($E30,$I30,$M30)</f>
        <v>0</v>
      </c>
      <c r="T30" s="1">
        <f>MAX($B30,$F30,$J30)</f>
        <v>0</v>
      </c>
      <c r="U30" s="1">
        <f>MAX($C30,$G30,$K30)</f>
        <v>0</v>
      </c>
      <c r="V30" s="1">
        <f>MAX($E30,$I30,$M30)</f>
        <v>0</v>
      </c>
    </row>
    <row r="31" spans="1:22">
      <c r="A31" s="1" t="s">
        <v>28</v>
      </c>
      <c r="B31" s="1">
        <v>1200</v>
      </c>
      <c r="C31" s="1">
        <v>0</v>
      </c>
      <c r="D31" s="1" t="s">
        <v>57</v>
      </c>
      <c r="E31" s="1">
        <v>0</v>
      </c>
      <c r="F31" s="1">
        <v>63.68</v>
      </c>
      <c r="G31" s="1">
        <v>51.35</v>
      </c>
      <c r="H31" s="1" t="s">
        <v>56</v>
      </c>
      <c r="I31" s="1">
        <v>498839</v>
      </c>
      <c r="J31" s="1">
        <v>155.63</v>
      </c>
      <c r="K31" s="1">
        <v>142.76</v>
      </c>
      <c r="L31" s="1" t="s">
        <v>56</v>
      </c>
      <c r="M31" s="1">
        <v>498829</v>
      </c>
      <c r="N31" s="1">
        <f>MIN($B31,$F31,$J31)</f>
        <v>0</v>
      </c>
      <c r="O31" s="1">
        <f>MIN($C31,$G31,$K31)</f>
        <v>0</v>
      </c>
      <c r="P31" s="1">
        <f>MIN($E31,$I31,$M31)</f>
        <v>0</v>
      </c>
      <c r="Q31" s="1">
        <f>MEDIAN($B31,$F31,$J31)</f>
        <v>0</v>
      </c>
      <c r="R31" s="1">
        <f>MEDIAN($C31,$G31,$K31)</f>
        <v>0</v>
      </c>
      <c r="S31" s="1">
        <f>MEDIAN($E31,$I31,$M31)</f>
        <v>0</v>
      </c>
      <c r="T31" s="1">
        <f>MAX($B31,$F31,$J31)</f>
        <v>0</v>
      </c>
      <c r="U31" s="1">
        <f>MAX($C31,$G31,$K31)</f>
        <v>0</v>
      </c>
      <c r="V31" s="1">
        <f>MAX($E31,$I31,$M31)</f>
        <v>0</v>
      </c>
    </row>
    <row r="32" spans="1:22">
      <c r="A32" s="1" t="s">
        <v>29</v>
      </c>
      <c r="B32" s="1">
        <v>1200</v>
      </c>
      <c r="C32" s="1">
        <v>0</v>
      </c>
      <c r="D32" s="1" t="s">
        <v>57</v>
      </c>
      <c r="E32" s="1">
        <v>0</v>
      </c>
      <c r="F32" s="1">
        <v>117.15</v>
      </c>
      <c r="G32" s="1">
        <v>104.52</v>
      </c>
      <c r="H32" s="1" t="s">
        <v>56</v>
      </c>
      <c r="I32" s="1">
        <v>498839</v>
      </c>
      <c r="J32" s="1">
        <v>182.24</v>
      </c>
      <c r="K32" s="1">
        <v>169.46</v>
      </c>
      <c r="L32" s="1" t="s">
        <v>56</v>
      </c>
      <c r="M32" s="1">
        <v>498829</v>
      </c>
      <c r="N32" s="1">
        <f>MIN($B32,$F32,$J32)</f>
        <v>0</v>
      </c>
      <c r="O32" s="1">
        <f>MIN($C32,$G32,$K32)</f>
        <v>0</v>
      </c>
      <c r="P32" s="1">
        <f>MIN($E32,$I32,$M32)</f>
        <v>0</v>
      </c>
      <c r="Q32" s="1">
        <f>MEDIAN($B32,$F32,$J32)</f>
        <v>0</v>
      </c>
      <c r="R32" s="1">
        <f>MEDIAN($C32,$G32,$K32)</f>
        <v>0</v>
      </c>
      <c r="S32" s="1">
        <f>MEDIAN($E32,$I32,$M32)</f>
        <v>0</v>
      </c>
      <c r="T32" s="1">
        <f>MAX($B32,$F32,$J32)</f>
        <v>0</v>
      </c>
      <c r="U32" s="1">
        <f>MAX($C32,$G32,$K32)</f>
        <v>0</v>
      </c>
      <c r="V32" s="1">
        <f>MAX($E32,$I32,$M32)</f>
        <v>0</v>
      </c>
    </row>
    <row r="33" spans="1:22">
      <c r="A33" s="1" t="s">
        <v>30</v>
      </c>
      <c r="B33" s="1">
        <v>1200</v>
      </c>
      <c r="C33" s="1">
        <v>0</v>
      </c>
      <c r="D33" s="1" t="s">
        <v>57</v>
      </c>
      <c r="E33" s="1">
        <v>0</v>
      </c>
      <c r="F33" s="1">
        <v>117.8</v>
      </c>
      <c r="G33" s="1">
        <v>105.39</v>
      </c>
      <c r="H33" s="1" t="s">
        <v>56</v>
      </c>
      <c r="I33" s="1">
        <v>498839</v>
      </c>
      <c r="J33" s="1">
        <v>186.57</v>
      </c>
      <c r="K33" s="1">
        <v>173.93</v>
      </c>
      <c r="L33" s="1" t="s">
        <v>56</v>
      </c>
      <c r="M33" s="1">
        <v>498829</v>
      </c>
      <c r="N33" s="1">
        <f>MIN($B33,$F33,$J33)</f>
        <v>0</v>
      </c>
      <c r="O33" s="1">
        <f>MIN($C33,$G33,$K33)</f>
        <v>0</v>
      </c>
      <c r="P33" s="1">
        <f>MIN($E33,$I33,$M33)</f>
        <v>0</v>
      </c>
      <c r="Q33" s="1">
        <f>MEDIAN($B33,$F33,$J33)</f>
        <v>0</v>
      </c>
      <c r="R33" s="1">
        <f>MEDIAN($C33,$G33,$K33)</f>
        <v>0</v>
      </c>
      <c r="S33" s="1">
        <f>MEDIAN($E33,$I33,$M33)</f>
        <v>0</v>
      </c>
      <c r="T33" s="1">
        <f>MAX($B33,$F33,$J33)</f>
        <v>0</v>
      </c>
      <c r="U33" s="1">
        <f>MAX($C33,$G33,$K33)</f>
        <v>0</v>
      </c>
      <c r="V33" s="1">
        <f>MAX($E33,$I33,$M33)</f>
        <v>0</v>
      </c>
    </row>
    <row r="34" spans="1:22">
      <c r="A34" s="1" t="s">
        <v>31</v>
      </c>
      <c r="B34" s="1">
        <v>337.93</v>
      </c>
      <c r="C34" s="1">
        <v>315.73</v>
      </c>
      <c r="D34" s="1" t="s">
        <v>56</v>
      </c>
      <c r="E34" s="1">
        <v>2682703</v>
      </c>
      <c r="F34" s="1">
        <v>12.57</v>
      </c>
      <c r="G34" s="1">
        <v>1.21</v>
      </c>
      <c r="H34" s="1" t="s">
        <v>56</v>
      </c>
      <c r="I34" s="1">
        <v>498839</v>
      </c>
      <c r="J34" s="1">
        <v>223.85</v>
      </c>
      <c r="K34" s="1">
        <v>210.99</v>
      </c>
      <c r="L34" s="1" t="s">
        <v>56</v>
      </c>
      <c r="M34" s="1">
        <v>498829</v>
      </c>
      <c r="N34" s="1">
        <f>MIN($B34,$F34,$J34)</f>
        <v>0</v>
      </c>
      <c r="O34" s="1">
        <f>MIN($C34,$G34,$K34)</f>
        <v>0</v>
      </c>
      <c r="P34" s="1">
        <f>MIN($E34,$I34,$M34)</f>
        <v>0</v>
      </c>
      <c r="Q34" s="1">
        <f>MEDIAN($B34,$F34,$J34)</f>
        <v>0</v>
      </c>
      <c r="R34" s="1">
        <f>MEDIAN($C34,$G34,$K34)</f>
        <v>0</v>
      </c>
      <c r="S34" s="1">
        <f>MEDIAN($E34,$I34,$M34)</f>
        <v>0</v>
      </c>
      <c r="T34" s="1">
        <f>MAX($B34,$F34,$J34)</f>
        <v>0</v>
      </c>
      <c r="U34" s="1">
        <f>MAX($C34,$G34,$K34)</f>
        <v>0</v>
      </c>
      <c r="V34" s="1">
        <f>MAX($E34,$I34,$M34)</f>
        <v>0</v>
      </c>
    </row>
    <row r="35" spans="1:22">
      <c r="A35" s="1" t="s">
        <v>32</v>
      </c>
      <c r="B35" s="1">
        <v>1200</v>
      </c>
      <c r="C35" s="1">
        <v>0</v>
      </c>
      <c r="D35" s="1" t="s">
        <v>57</v>
      </c>
      <c r="E35" s="1">
        <v>0</v>
      </c>
      <c r="F35" s="1">
        <v>21.86</v>
      </c>
      <c r="G35" s="1">
        <v>7.76</v>
      </c>
      <c r="H35" s="1" t="s">
        <v>56</v>
      </c>
      <c r="I35" s="1">
        <v>498839</v>
      </c>
      <c r="J35" s="1">
        <v>199.36</v>
      </c>
      <c r="K35" s="1">
        <v>185.75</v>
      </c>
      <c r="L35" s="1" t="s">
        <v>56</v>
      </c>
      <c r="M35" s="1">
        <v>498829</v>
      </c>
      <c r="N35" s="1">
        <f>MIN($B35,$F35,$J35)</f>
        <v>0</v>
      </c>
      <c r="O35" s="1">
        <f>MIN($C35,$G35,$K35)</f>
        <v>0</v>
      </c>
      <c r="P35" s="1">
        <f>MIN($E35,$I35,$M35)</f>
        <v>0</v>
      </c>
      <c r="Q35" s="1">
        <f>MEDIAN($B35,$F35,$J35)</f>
        <v>0</v>
      </c>
      <c r="R35" s="1">
        <f>MEDIAN($C35,$G35,$K35)</f>
        <v>0</v>
      </c>
      <c r="S35" s="1">
        <f>MEDIAN($E35,$I35,$M35)</f>
        <v>0</v>
      </c>
      <c r="T35" s="1">
        <f>MAX($B35,$F35,$J35)</f>
        <v>0</v>
      </c>
      <c r="U35" s="1">
        <f>MAX($C35,$G35,$K35)</f>
        <v>0</v>
      </c>
      <c r="V35" s="1">
        <f>MAX($E35,$I35,$M35)</f>
        <v>0</v>
      </c>
    </row>
    <row r="36" spans="1:22">
      <c r="A36" s="1" t="s">
        <v>33</v>
      </c>
      <c r="B36" s="1">
        <v>14.77</v>
      </c>
      <c r="C36" s="1">
        <v>0.52</v>
      </c>
      <c r="D36" s="1" t="s">
        <v>56</v>
      </c>
      <c r="E36" s="1">
        <v>698097</v>
      </c>
      <c r="F36" s="1">
        <v>15.89</v>
      </c>
      <c r="G36" s="1">
        <v>1.45</v>
      </c>
      <c r="H36" s="1" t="s">
        <v>56</v>
      </c>
      <c r="I36" s="1">
        <v>660666</v>
      </c>
      <c r="J36" s="1">
        <v>25.03</v>
      </c>
      <c r="K36" s="1">
        <v>10.7</v>
      </c>
      <c r="L36" s="1" t="s">
        <v>56</v>
      </c>
      <c r="M36" s="1">
        <v>660656</v>
      </c>
      <c r="N36" s="1">
        <f>MIN($B36,$F36,$J36)</f>
        <v>0</v>
      </c>
      <c r="O36" s="1">
        <f>MIN($C36,$G36,$K36)</f>
        <v>0</v>
      </c>
      <c r="P36" s="1">
        <f>MIN($E36,$I36,$M36)</f>
        <v>0</v>
      </c>
      <c r="Q36" s="1">
        <f>MEDIAN($B36,$F36,$J36)</f>
        <v>0</v>
      </c>
      <c r="R36" s="1">
        <f>MEDIAN($C36,$G36,$K36)</f>
        <v>0</v>
      </c>
      <c r="S36" s="1">
        <f>MEDIAN($E36,$I36,$M36)</f>
        <v>0</v>
      </c>
      <c r="T36" s="1">
        <f>MAX($B36,$F36,$J36)</f>
        <v>0</v>
      </c>
      <c r="U36" s="1">
        <f>MAX($C36,$G36,$K36)</f>
        <v>0</v>
      </c>
      <c r="V36" s="1">
        <f>MAX($E36,$I36,$M36)</f>
        <v>0</v>
      </c>
    </row>
    <row r="37" spans="1:22">
      <c r="A37" s="1" t="s">
        <v>34</v>
      </c>
      <c r="B37" s="1">
        <v>1200</v>
      </c>
      <c r="C37" s="1"/>
      <c r="D37" s="1"/>
      <c r="E37" s="1"/>
      <c r="F37" s="1">
        <v>50.98</v>
      </c>
      <c r="G37" s="1">
        <v>35.24</v>
      </c>
      <c r="H37" s="1" t="s">
        <v>56</v>
      </c>
      <c r="I37" s="1">
        <v>660777</v>
      </c>
      <c r="J37" s="1">
        <v>360.52</v>
      </c>
      <c r="K37" s="1">
        <v>345.95</v>
      </c>
      <c r="L37" s="1" t="s">
        <v>56</v>
      </c>
      <c r="M37" s="1">
        <v>660767</v>
      </c>
      <c r="N37" s="1">
        <f>MIN($B37,$F37,$J37)</f>
        <v>0</v>
      </c>
      <c r="O37" s="1">
        <f>MIN($C37,$G37,$K37)</f>
        <v>0</v>
      </c>
      <c r="P37" s="1">
        <f>MIN($E37,$I37,$M37)</f>
        <v>0</v>
      </c>
      <c r="Q37" s="1">
        <f>MEDIAN($B37,$F37,$J37)</f>
        <v>0</v>
      </c>
      <c r="R37" s="1">
        <f>MEDIAN($C37,$G37,$K37)</f>
        <v>0</v>
      </c>
      <c r="S37" s="1">
        <f>MEDIAN($E37,$I37,$M37)</f>
        <v>0</v>
      </c>
      <c r="T37" s="1">
        <f>MAX($B37,$F37,$J37)</f>
        <v>0</v>
      </c>
      <c r="U37" s="1">
        <f>MAX($C37,$G37,$K37)</f>
        <v>0</v>
      </c>
      <c r="V37" s="1">
        <f>MAX($E37,$I37,$M37)</f>
        <v>0</v>
      </c>
    </row>
    <row r="38" spans="1:22">
      <c r="A38" s="1" t="s">
        <v>35</v>
      </c>
      <c r="B38" s="1">
        <v>1200</v>
      </c>
      <c r="C38" s="1"/>
      <c r="D38" s="1"/>
      <c r="E38" s="1"/>
      <c r="F38" s="1">
        <v>23.89</v>
      </c>
      <c r="G38" s="1">
        <v>10.17</v>
      </c>
      <c r="H38" s="1" t="s">
        <v>56</v>
      </c>
      <c r="I38" s="1">
        <v>660777</v>
      </c>
      <c r="J38" s="1">
        <v>323.04</v>
      </c>
      <c r="K38" s="1">
        <v>307.67</v>
      </c>
      <c r="L38" s="1" t="s">
        <v>56</v>
      </c>
      <c r="M38" s="1">
        <v>660767</v>
      </c>
      <c r="N38" s="1">
        <f>MIN($B38,$F38,$J38)</f>
        <v>0</v>
      </c>
      <c r="O38" s="1">
        <f>MIN($C38,$G38,$K38)</f>
        <v>0</v>
      </c>
      <c r="P38" s="1">
        <f>MIN($E38,$I38,$M38)</f>
        <v>0</v>
      </c>
      <c r="Q38" s="1">
        <f>MEDIAN($B38,$F38,$J38)</f>
        <v>0</v>
      </c>
      <c r="R38" s="1">
        <f>MEDIAN($C38,$G38,$K38)</f>
        <v>0</v>
      </c>
      <c r="S38" s="1">
        <f>MEDIAN($E38,$I38,$M38)</f>
        <v>0</v>
      </c>
      <c r="T38" s="1">
        <f>MAX($B38,$F38,$J38)</f>
        <v>0</v>
      </c>
      <c r="U38" s="1">
        <f>MAX($C38,$G38,$K38)</f>
        <v>0</v>
      </c>
      <c r="V38" s="1">
        <f>MAX($E38,$I38,$M38)</f>
        <v>0</v>
      </c>
    </row>
    <row r="39" spans="1:22">
      <c r="A39" s="1" t="s">
        <v>36</v>
      </c>
      <c r="B39" s="1">
        <v>1200</v>
      </c>
      <c r="C39" s="1"/>
      <c r="D39" s="1" t="s">
        <v>57</v>
      </c>
      <c r="E39" s="1"/>
      <c r="F39" s="1">
        <v>52.38</v>
      </c>
      <c r="G39" s="1">
        <v>37.52</v>
      </c>
      <c r="H39" s="1" t="s">
        <v>56</v>
      </c>
      <c r="I39" s="1">
        <v>660777</v>
      </c>
      <c r="J39" s="1">
        <v>358.24</v>
      </c>
      <c r="K39" s="1">
        <v>343.63</v>
      </c>
      <c r="L39" s="1" t="s">
        <v>56</v>
      </c>
      <c r="M39" s="1">
        <v>660767</v>
      </c>
      <c r="N39" s="1">
        <f>MIN($B39,$F39,$J39)</f>
        <v>0</v>
      </c>
      <c r="O39" s="1">
        <f>MIN($C39,$G39,$K39)</f>
        <v>0</v>
      </c>
      <c r="P39" s="1">
        <f>MIN($E39,$I39,$M39)</f>
        <v>0</v>
      </c>
      <c r="Q39" s="1">
        <f>MEDIAN($B39,$F39,$J39)</f>
        <v>0</v>
      </c>
      <c r="R39" s="1">
        <f>MEDIAN($C39,$G39,$K39)</f>
        <v>0</v>
      </c>
      <c r="S39" s="1">
        <f>MEDIAN($E39,$I39,$M39)</f>
        <v>0</v>
      </c>
      <c r="T39" s="1">
        <f>MAX($B39,$F39,$J39)</f>
        <v>0</v>
      </c>
      <c r="U39" s="1">
        <f>MAX($C39,$G39,$K39)</f>
        <v>0</v>
      </c>
      <c r="V39" s="1">
        <f>MAX($E39,$I39,$M39)</f>
        <v>0</v>
      </c>
    </row>
    <row r="40" spans="1:22">
      <c r="A40" s="1" t="s">
        <v>37</v>
      </c>
      <c r="B40" s="1">
        <v>1200</v>
      </c>
      <c r="C40" s="1">
        <v>0</v>
      </c>
      <c r="D40" s="1" t="s">
        <v>57</v>
      </c>
      <c r="E40" s="1">
        <v>0</v>
      </c>
      <c r="F40" s="1">
        <v>46.62</v>
      </c>
      <c r="G40" s="1">
        <v>29.71</v>
      </c>
      <c r="H40" s="1" t="s">
        <v>56</v>
      </c>
      <c r="I40" s="1">
        <v>660777</v>
      </c>
      <c r="J40" s="1">
        <v>313.66</v>
      </c>
      <c r="K40" s="1">
        <v>299.42</v>
      </c>
      <c r="L40" s="1" t="s">
        <v>56</v>
      </c>
      <c r="M40" s="1">
        <v>660767</v>
      </c>
      <c r="N40" s="1">
        <f>MIN($B40,$F40,$J40)</f>
        <v>0</v>
      </c>
      <c r="O40" s="1">
        <f>MIN($C40,$G40,$K40)</f>
        <v>0</v>
      </c>
      <c r="P40" s="1">
        <f>MIN($E40,$I40,$M40)</f>
        <v>0</v>
      </c>
      <c r="Q40" s="1">
        <f>MEDIAN($B40,$F40,$J40)</f>
        <v>0</v>
      </c>
      <c r="R40" s="1">
        <f>MEDIAN($C40,$G40,$K40)</f>
        <v>0</v>
      </c>
      <c r="S40" s="1">
        <f>MEDIAN($E40,$I40,$M40)</f>
        <v>0</v>
      </c>
      <c r="T40" s="1">
        <f>MAX($B40,$F40,$J40)</f>
        <v>0</v>
      </c>
      <c r="U40" s="1">
        <f>MAX($C40,$G40,$K40)</f>
        <v>0</v>
      </c>
      <c r="V40" s="1">
        <f>MAX($E40,$I40,$M40)</f>
        <v>0</v>
      </c>
    </row>
    <row r="41" spans="1:22">
      <c r="A41" s="1" t="s">
        <v>38</v>
      </c>
      <c r="B41" s="1">
        <v>1200</v>
      </c>
      <c r="C41" s="1">
        <v>0</v>
      </c>
      <c r="D41" s="1" t="s">
        <v>57</v>
      </c>
      <c r="E41" s="1">
        <v>0</v>
      </c>
      <c r="F41" s="1">
        <v>85.95</v>
      </c>
      <c r="G41" s="1">
        <v>70.40000000000001</v>
      </c>
      <c r="H41" s="1" t="s">
        <v>56</v>
      </c>
      <c r="I41" s="1">
        <v>660777</v>
      </c>
      <c r="J41" s="1">
        <v>318.81</v>
      </c>
      <c r="K41" s="1">
        <v>304.63</v>
      </c>
      <c r="L41" s="1" t="s">
        <v>56</v>
      </c>
      <c r="M41" s="1">
        <v>660767</v>
      </c>
      <c r="N41" s="1">
        <f>MIN($B41,$F41,$J41)</f>
        <v>0</v>
      </c>
      <c r="O41" s="1">
        <f>MIN($C41,$G41,$K41)</f>
        <v>0</v>
      </c>
      <c r="P41" s="1">
        <f>MIN($E41,$I41,$M41)</f>
        <v>0</v>
      </c>
      <c r="Q41" s="1">
        <f>MEDIAN($B41,$F41,$J41)</f>
        <v>0</v>
      </c>
      <c r="R41" s="1">
        <f>MEDIAN($C41,$G41,$K41)</f>
        <v>0</v>
      </c>
      <c r="S41" s="1">
        <f>MEDIAN($E41,$I41,$M41)</f>
        <v>0</v>
      </c>
      <c r="T41" s="1">
        <f>MAX($B41,$F41,$J41)</f>
        <v>0</v>
      </c>
      <c r="U41" s="1">
        <f>MAX($C41,$G41,$K41)</f>
        <v>0</v>
      </c>
      <c r="V41" s="1">
        <f>MAX($E41,$I41,$M41)</f>
        <v>0</v>
      </c>
    </row>
    <row r="42" spans="1:22">
      <c r="A42" s="1" t="s">
        <v>39</v>
      </c>
      <c r="B42" s="1">
        <v>1200</v>
      </c>
      <c r="C42" s="1">
        <v>0</v>
      </c>
      <c r="D42" s="1" t="s">
        <v>57</v>
      </c>
      <c r="E42" s="1">
        <v>0</v>
      </c>
      <c r="F42" s="1">
        <v>36.65</v>
      </c>
      <c r="G42" s="1">
        <v>20.74</v>
      </c>
      <c r="H42" s="1" t="s">
        <v>56</v>
      </c>
      <c r="I42" s="1">
        <v>660777</v>
      </c>
      <c r="J42" s="1">
        <v>358.59</v>
      </c>
      <c r="K42" s="1">
        <v>343.47</v>
      </c>
      <c r="L42" s="1" t="s">
        <v>56</v>
      </c>
      <c r="M42" s="1">
        <v>660767</v>
      </c>
      <c r="N42" s="1">
        <f>MIN($B42,$F42,$J42)</f>
        <v>0</v>
      </c>
      <c r="O42" s="1">
        <f>MIN($C42,$G42,$K42)</f>
        <v>0</v>
      </c>
      <c r="P42" s="1">
        <f>MIN($E42,$I42,$M42)</f>
        <v>0</v>
      </c>
      <c r="Q42" s="1">
        <f>MEDIAN($B42,$F42,$J42)</f>
        <v>0</v>
      </c>
      <c r="R42" s="1">
        <f>MEDIAN($C42,$G42,$K42)</f>
        <v>0</v>
      </c>
      <c r="S42" s="1">
        <f>MEDIAN($E42,$I42,$M42)</f>
        <v>0</v>
      </c>
      <c r="T42" s="1">
        <f>MAX($B42,$F42,$J42)</f>
        <v>0</v>
      </c>
      <c r="U42" s="1">
        <f>MAX($C42,$G42,$K42)</f>
        <v>0</v>
      </c>
      <c r="V42" s="1">
        <f>MAX($E42,$I42,$M42)</f>
        <v>0</v>
      </c>
    </row>
    <row r="43" spans="1:22">
      <c r="A43" s="1" t="s">
        <v>40</v>
      </c>
      <c r="B43" s="1">
        <v>1200</v>
      </c>
      <c r="C43" s="1">
        <v>0</v>
      </c>
      <c r="D43" s="1" t="s">
        <v>57</v>
      </c>
      <c r="E43" s="1">
        <v>0</v>
      </c>
      <c r="F43" s="1">
        <v>27.16</v>
      </c>
      <c r="G43" s="1">
        <v>12.42</v>
      </c>
      <c r="H43" s="1" t="s">
        <v>56</v>
      </c>
      <c r="I43" s="1">
        <v>660777</v>
      </c>
      <c r="J43" s="1">
        <v>287.23</v>
      </c>
      <c r="K43" s="1">
        <v>274.32</v>
      </c>
      <c r="L43" s="1" t="s">
        <v>56</v>
      </c>
      <c r="M43" s="1">
        <v>660767</v>
      </c>
      <c r="N43" s="1">
        <f>MIN($B43,$F43,$J43)</f>
        <v>0</v>
      </c>
      <c r="O43" s="1">
        <f>MIN($C43,$G43,$K43)</f>
        <v>0</v>
      </c>
      <c r="P43" s="1">
        <f>MIN($E43,$I43,$M43)</f>
        <v>0</v>
      </c>
      <c r="Q43" s="1">
        <f>MEDIAN($B43,$F43,$J43)</f>
        <v>0</v>
      </c>
      <c r="R43" s="1">
        <f>MEDIAN($C43,$G43,$K43)</f>
        <v>0</v>
      </c>
      <c r="S43" s="1">
        <f>MEDIAN($E43,$I43,$M43)</f>
        <v>0</v>
      </c>
      <c r="T43" s="1">
        <f>MAX($B43,$F43,$J43)</f>
        <v>0</v>
      </c>
      <c r="U43" s="1">
        <f>MAX($C43,$G43,$K43)</f>
        <v>0</v>
      </c>
      <c r="V43" s="1">
        <f>MAX($E43,$I43,$M43)</f>
        <v>0</v>
      </c>
    </row>
    <row r="44" spans="1:22">
      <c r="A44" s="1" t="s">
        <v>41</v>
      </c>
      <c r="B44" s="1">
        <v>1200</v>
      </c>
      <c r="C44" s="1">
        <v>0</v>
      </c>
      <c r="D44" s="1" t="s">
        <v>57</v>
      </c>
      <c r="E44" s="1">
        <v>0</v>
      </c>
      <c r="F44" s="1">
        <v>58.83</v>
      </c>
      <c r="G44" s="1">
        <v>44.31</v>
      </c>
      <c r="H44" s="1" t="s">
        <v>56</v>
      </c>
      <c r="I44" s="1">
        <v>660777</v>
      </c>
      <c r="J44" s="1">
        <v>364.53</v>
      </c>
      <c r="K44" s="1">
        <v>349.07</v>
      </c>
      <c r="L44" s="1" t="s">
        <v>56</v>
      </c>
      <c r="M44" s="1">
        <v>660767</v>
      </c>
      <c r="N44" s="1">
        <f>MIN($B44,$F44,$J44)</f>
        <v>0</v>
      </c>
      <c r="O44" s="1">
        <f>MIN($C44,$G44,$K44)</f>
        <v>0</v>
      </c>
      <c r="P44" s="1">
        <f>MIN($E44,$I44,$M44)</f>
        <v>0</v>
      </c>
      <c r="Q44" s="1">
        <f>MEDIAN($B44,$F44,$J44)</f>
        <v>0</v>
      </c>
      <c r="R44" s="1">
        <f>MEDIAN($C44,$G44,$K44)</f>
        <v>0</v>
      </c>
      <c r="S44" s="1">
        <f>MEDIAN($E44,$I44,$M44)</f>
        <v>0</v>
      </c>
      <c r="T44" s="1">
        <f>MAX($B44,$F44,$J44)</f>
        <v>0</v>
      </c>
      <c r="U44" s="1">
        <f>MAX($C44,$G44,$K44)</f>
        <v>0</v>
      </c>
      <c r="V44" s="1">
        <f>MAX($E44,$I44,$M44)</f>
        <v>0</v>
      </c>
    </row>
    <row r="45" spans="1:22">
      <c r="A45" s="1" t="s">
        <v>42</v>
      </c>
      <c r="B45" s="1">
        <v>1200</v>
      </c>
      <c r="C45" s="1">
        <v>1176.73</v>
      </c>
      <c r="D45" s="1" t="s">
        <v>57</v>
      </c>
      <c r="E45" s="1">
        <v>2842506</v>
      </c>
      <c r="F45" s="1">
        <v>32.78</v>
      </c>
      <c r="G45" s="1">
        <v>18.74</v>
      </c>
      <c r="H45" s="1" t="s">
        <v>56</v>
      </c>
      <c r="I45" s="1">
        <v>660777</v>
      </c>
      <c r="J45" s="1">
        <v>268.97</v>
      </c>
      <c r="K45" s="1">
        <v>255.43</v>
      </c>
      <c r="L45" s="1" t="s">
        <v>56</v>
      </c>
      <c r="M45" s="1">
        <v>660767</v>
      </c>
      <c r="N45" s="1">
        <f>MIN($B45,$F45,$J45)</f>
        <v>0</v>
      </c>
      <c r="O45" s="1">
        <f>MIN($C45,$G45,$K45)</f>
        <v>0</v>
      </c>
      <c r="P45" s="1">
        <f>MIN($E45,$I45,$M45)</f>
        <v>0</v>
      </c>
      <c r="Q45" s="1">
        <f>MEDIAN($B45,$F45,$J45)</f>
        <v>0</v>
      </c>
      <c r="R45" s="1">
        <f>MEDIAN($C45,$G45,$K45)</f>
        <v>0</v>
      </c>
      <c r="S45" s="1">
        <f>MEDIAN($E45,$I45,$M45)</f>
        <v>0</v>
      </c>
      <c r="T45" s="1">
        <f>MAX($B45,$F45,$J45)</f>
        <v>0</v>
      </c>
      <c r="U45" s="1">
        <f>MAX($C45,$G45,$K45)</f>
        <v>0</v>
      </c>
      <c r="V45" s="1">
        <f>MAX($E45,$I45,$M45)</f>
        <v>0</v>
      </c>
    </row>
    <row r="46" spans="1:22">
      <c r="A46" s="1" t="s">
        <v>43</v>
      </c>
      <c r="B46" s="1">
        <v>1200</v>
      </c>
      <c r="C46" s="1">
        <v>0</v>
      </c>
      <c r="D46" s="1" t="s">
        <v>57</v>
      </c>
      <c r="E46" s="1">
        <v>0</v>
      </c>
      <c r="F46" s="1">
        <v>84.43000000000001</v>
      </c>
      <c r="G46" s="1">
        <v>69.68000000000001</v>
      </c>
      <c r="H46" s="1" t="s">
        <v>56</v>
      </c>
      <c r="I46" s="1">
        <v>660777</v>
      </c>
      <c r="J46" s="1">
        <v>343.07</v>
      </c>
      <c r="K46" s="1">
        <v>329.39</v>
      </c>
      <c r="L46" s="1" t="s">
        <v>56</v>
      </c>
      <c r="M46" s="1">
        <v>660767</v>
      </c>
      <c r="N46" s="1">
        <f>MIN($B46,$F46,$J46)</f>
        <v>0</v>
      </c>
      <c r="O46" s="1">
        <f>MIN($C46,$G46,$K46)</f>
        <v>0</v>
      </c>
      <c r="P46" s="1">
        <f>MIN($E46,$I46,$M46)</f>
        <v>0</v>
      </c>
      <c r="Q46" s="1">
        <f>MEDIAN($B46,$F46,$J46)</f>
        <v>0</v>
      </c>
      <c r="R46" s="1">
        <f>MEDIAN($C46,$G46,$K46)</f>
        <v>0</v>
      </c>
      <c r="S46" s="1">
        <f>MEDIAN($E46,$I46,$M46)</f>
        <v>0</v>
      </c>
      <c r="T46" s="1">
        <f>MAX($B46,$F46,$J46)</f>
        <v>0</v>
      </c>
      <c r="U46" s="1">
        <f>MAX($C46,$G46,$K46)</f>
        <v>0</v>
      </c>
      <c r="V46" s="1">
        <f>MAX($E46,$I46,$M46)</f>
        <v>0</v>
      </c>
    </row>
    <row r="47" spans="1:2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>
      <c r="A48" s="1" t="s">
        <v>44</v>
      </c>
      <c r="B48" s="1">
        <f>SUM(B$3:B$46)</f>
        <v>0</v>
      </c>
      <c r="C48" s="1">
        <f>SUM(C$3:C$46)</f>
        <v>0</v>
      </c>
      <c r="D48" s="1"/>
      <c r="E48" s="1">
        <f>SUM(E$3:E$46)</f>
        <v>0</v>
      </c>
      <c r="F48" s="1">
        <f>SUM(F$3:F$46)</f>
        <v>0</v>
      </c>
      <c r="G48" s="1">
        <f>SUM(G$3:G$46)</f>
        <v>0</v>
      </c>
      <c r="H48" s="1"/>
      <c r="I48" s="1">
        <f>SUM(I$3:I$46)</f>
        <v>0</v>
      </c>
      <c r="J48" s="1">
        <f>SUM(J$3:J$46)</f>
        <v>0</v>
      </c>
      <c r="K48" s="1">
        <f>SUM(K$3:K$46)</f>
        <v>0</v>
      </c>
      <c r="L48" s="1"/>
      <c r="M48" s="1">
        <f>SUM(M$3:M$46)</f>
        <v>0</v>
      </c>
      <c r="N48" s="1">
        <f>SUM(N$3:N$46)</f>
        <v>0</v>
      </c>
      <c r="O48" s="1">
        <f>SUM(O$3:O$46)</f>
        <v>0</v>
      </c>
      <c r="P48" s="1">
        <f>SUM(P$3:P$46)</f>
        <v>0</v>
      </c>
      <c r="Q48" s="1">
        <f>SUM(Q$3:Q$46)</f>
        <v>0</v>
      </c>
      <c r="R48" s="1">
        <f>SUM(R$3:R$46)</f>
        <v>0</v>
      </c>
      <c r="S48" s="1">
        <f>SUM(S$3:S$46)</f>
        <v>0</v>
      </c>
      <c r="T48" s="1">
        <f>SUM(T$3:T$46)</f>
        <v>0</v>
      </c>
      <c r="U48" s="1">
        <f>SUM(U$3:U$46)</f>
        <v>0</v>
      </c>
      <c r="V48" s="1">
        <f>SUM(V$3:V$46)</f>
        <v>0</v>
      </c>
    </row>
    <row r="49" spans="1:22">
      <c r="A49" s="1" t="s">
        <v>45</v>
      </c>
      <c r="B49" s="1">
        <f>AVERAGE(B$3:B$46)</f>
        <v>0</v>
      </c>
      <c r="C49" s="1">
        <f>AVERAGE(C$3:C$46)</f>
        <v>0</v>
      </c>
      <c r="D49" s="1"/>
      <c r="E49" s="1">
        <f>AVERAGE(E$3:E$46)</f>
        <v>0</v>
      </c>
      <c r="F49" s="1">
        <f>AVERAGE(F$3:F$46)</f>
        <v>0</v>
      </c>
      <c r="G49" s="1">
        <f>AVERAGE(G$3:G$46)</f>
        <v>0</v>
      </c>
      <c r="H49" s="1"/>
      <c r="I49" s="1">
        <f>AVERAGE(I$3:I$46)</f>
        <v>0</v>
      </c>
      <c r="J49" s="1">
        <f>AVERAGE(J$3:J$46)</f>
        <v>0</v>
      </c>
      <c r="K49" s="1">
        <f>AVERAGE(K$3:K$46)</f>
        <v>0</v>
      </c>
      <c r="L49" s="1"/>
      <c r="M49" s="1">
        <f>AVERAGE(M$3:M$46)</f>
        <v>0</v>
      </c>
      <c r="N49" s="1">
        <f>AVERAGE(N$3:N$46)</f>
        <v>0</v>
      </c>
      <c r="O49" s="1">
        <f>AVERAGE(O$3:O$46)</f>
        <v>0</v>
      </c>
      <c r="P49" s="1">
        <f>AVERAGE(P$3:P$46)</f>
        <v>0</v>
      </c>
      <c r="Q49" s="1">
        <f>AVERAGE(Q$3:Q$46)</f>
        <v>0</v>
      </c>
      <c r="R49" s="1">
        <f>AVERAGE(R$3:R$46)</f>
        <v>0</v>
      </c>
      <c r="S49" s="1">
        <f>AVERAGE(S$3:S$46)</f>
        <v>0</v>
      </c>
      <c r="T49" s="1">
        <f>AVERAGE(T$3:T$46)</f>
        <v>0</v>
      </c>
      <c r="U49" s="1">
        <f>AVERAGE(U$3:U$46)</f>
        <v>0</v>
      </c>
      <c r="V49" s="1">
        <f>AVERAGE(V$3:V$46)</f>
        <v>0</v>
      </c>
    </row>
    <row r="50" spans="1:22">
      <c r="A50" s="1" t="s">
        <v>46</v>
      </c>
      <c r="B50" s="1">
        <f>STDEV(B$3:B$46)</f>
        <v>0</v>
      </c>
      <c r="C50" s="1">
        <f>STDEV(C$3:C$46)</f>
        <v>0</v>
      </c>
      <c r="D50" s="1"/>
      <c r="E50" s="1">
        <f>STDEV(E$3:E$46)</f>
        <v>0</v>
      </c>
      <c r="F50" s="1">
        <f>STDEV(F$3:F$46)</f>
        <v>0</v>
      </c>
      <c r="G50" s="1">
        <f>STDEV(G$3:G$46)</f>
        <v>0</v>
      </c>
      <c r="H50" s="1"/>
      <c r="I50" s="1">
        <f>STDEV(I$3:I$46)</f>
        <v>0</v>
      </c>
      <c r="J50" s="1">
        <f>STDEV(J$3:J$46)</f>
        <v>0</v>
      </c>
      <c r="K50" s="1">
        <f>STDEV(K$3:K$46)</f>
        <v>0</v>
      </c>
      <c r="L50" s="1"/>
      <c r="M50" s="1">
        <f>STDEV(M$3:M$46)</f>
        <v>0</v>
      </c>
      <c r="N50" s="1">
        <f>STDEV(N$3:N$46)</f>
        <v>0</v>
      </c>
      <c r="O50" s="1">
        <f>STDEV(O$3:O$46)</f>
        <v>0</v>
      </c>
      <c r="P50" s="1">
        <f>STDEV(P$3:P$46)</f>
        <v>0</v>
      </c>
      <c r="Q50" s="1">
        <f>STDEV(Q$3:Q$46)</f>
        <v>0</v>
      </c>
      <c r="R50" s="1">
        <f>STDEV(R$3:R$46)</f>
        <v>0</v>
      </c>
      <c r="S50" s="1">
        <f>STDEV(S$3:S$46)</f>
        <v>0</v>
      </c>
      <c r="T50" s="1">
        <f>STDEV(T$3:T$46)</f>
        <v>0</v>
      </c>
      <c r="U50" s="1">
        <f>STDEV(U$3:U$46)</f>
        <v>0</v>
      </c>
      <c r="V50" s="1">
        <f>STDEV(V$3:V$46)</f>
        <v>0</v>
      </c>
    </row>
    <row r="51" spans="1:22">
      <c r="A51" s="1" t="s">
        <v>47</v>
      </c>
      <c r="B51" s="1">
        <f>SUMPRODUCT(--(B$3:B$46-$N$3:$N$46)^2)^0.5</f>
        <v>0</v>
      </c>
      <c r="C51" s="1">
        <f>SUMPRODUCT(--(C$3:C$46-$O$3:$O$46)^2)^0.5</f>
        <v>0</v>
      </c>
      <c r="D51" s="1"/>
      <c r="E51" s="1">
        <f>SUMPRODUCT(--(E$3:E$46-$P$3:$P$46)^2)^0.5</f>
        <v>0</v>
      </c>
      <c r="F51" s="1">
        <f>SUMPRODUCT(--(F$3:F$46-$N$3:$N$46)^2)^0.5</f>
        <v>0</v>
      </c>
      <c r="G51" s="1">
        <f>SUMPRODUCT(--(G$3:G$46-$O$3:$O$46)^2)^0.5</f>
        <v>0</v>
      </c>
      <c r="H51" s="1"/>
      <c r="I51" s="1">
        <f>SUMPRODUCT(--(I$3:I$46-$P$3:$P$46)^2)^0.5</f>
        <v>0</v>
      </c>
      <c r="J51" s="1">
        <f>SUMPRODUCT(--(J$3:J$46-$N$3:$N$46)^2)^0.5</f>
        <v>0</v>
      </c>
      <c r="K51" s="1">
        <f>SUMPRODUCT(--(K$3:K$46-$O$3:$O$46)^2)^0.5</f>
        <v>0</v>
      </c>
      <c r="L51" s="1"/>
      <c r="M51" s="1">
        <f>SUMPRODUCT(--(M$3:M$46-$P$3:$P$46)^2)^0.5</f>
        <v>0</v>
      </c>
      <c r="N51" s="1"/>
      <c r="O51" s="1"/>
      <c r="P51" s="1"/>
      <c r="Q51" s="1"/>
      <c r="R51" s="1"/>
      <c r="S51" s="1"/>
      <c r="T51" s="1"/>
      <c r="U51" s="1"/>
      <c r="V51" s="1"/>
    </row>
    <row r="52" spans="1:22">
      <c r="A52" s="1" t="s">
        <v>48</v>
      </c>
      <c r="B52" s="1">
        <f>SUMPRODUCT(NOT(ISBLANK(B$3:B$46))*(B$3:B$46=$N$3:$N$46))</f>
        <v>0</v>
      </c>
      <c r="C52" s="1">
        <f>SUMPRODUCT(NOT(ISBLANK(C$3:C$46))*(C$3:C$46=$O$3:$O$46))</f>
        <v>0</v>
      </c>
      <c r="D52" s="1"/>
      <c r="E52" s="1">
        <f>SUMPRODUCT(NOT(ISBLANK(E$3:E$46))*(E$3:E$46=$P$3:$P$46))</f>
        <v>0</v>
      </c>
      <c r="F52" s="1">
        <f>SUMPRODUCT(NOT(ISBLANK(F$3:F$46))*(F$3:F$46=$N$3:$N$46))</f>
        <v>0</v>
      </c>
      <c r="G52" s="1">
        <f>SUMPRODUCT(NOT(ISBLANK(G$3:G$46))*(G$3:G$46=$O$3:$O$46))</f>
        <v>0</v>
      </c>
      <c r="H52" s="1"/>
      <c r="I52" s="1">
        <f>SUMPRODUCT(NOT(ISBLANK(I$3:I$46))*(I$3:I$46=$P$3:$P$46))</f>
        <v>0</v>
      </c>
      <c r="J52" s="1">
        <f>SUMPRODUCT(NOT(ISBLANK(J$3:J$46))*(J$3:J$46=$N$3:$N$46))</f>
        <v>0</v>
      </c>
      <c r="K52" s="1">
        <f>SUMPRODUCT(NOT(ISBLANK(K$3:K$46))*(K$3:K$46=$O$3:$O$46))</f>
        <v>0</v>
      </c>
      <c r="L52" s="1"/>
      <c r="M52" s="1">
        <f>SUMPRODUCT(NOT(ISBLANK(M$3:M$46))*(M$3:M$46=$P$3:$P$46))</f>
        <v>0</v>
      </c>
      <c r="N52" s="1"/>
      <c r="O52" s="1"/>
      <c r="P52" s="1"/>
      <c r="Q52" s="1"/>
      <c r="R52" s="1"/>
      <c r="S52" s="1"/>
      <c r="T52" s="1"/>
      <c r="U52" s="1"/>
      <c r="V52" s="1"/>
    </row>
    <row r="53" spans="1:22">
      <c r="A53" s="1" t="s">
        <v>49</v>
      </c>
      <c r="B53" s="1">
        <f>SUMPRODUCT(NOT(ISBLANK(B$3:B$46))*(B$3:B$46&lt;$Q$3:$Q$46))</f>
        <v>0</v>
      </c>
      <c r="C53" s="1">
        <f>SUMPRODUCT(NOT(ISBLANK(C$3:C$46))*(C$3:C$46&lt;$R$3:$R$46))</f>
        <v>0</v>
      </c>
      <c r="D53" s="1"/>
      <c r="E53" s="1">
        <f>SUMPRODUCT(NOT(ISBLANK(E$3:E$46))*(E$3:E$46&lt;$S$3:$S$46))</f>
        <v>0</v>
      </c>
      <c r="F53" s="1">
        <f>SUMPRODUCT(NOT(ISBLANK(F$3:F$46))*(F$3:F$46&lt;$Q$3:$Q$46))</f>
        <v>0</v>
      </c>
      <c r="G53" s="1">
        <f>SUMPRODUCT(NOT(ISBLANK(G$3:G$46))*(G$3:G$46&lt;$R$3:$R$46))</f>
        <v>0</v>
      </c>
      <c r="H53" s="1"/>
      <c r="I53" s="1">
        <f>SUMPRODUCT(NOT(ISBLANK(I$3:I$46))*(I$3:I$46&lt;$S$3:$S$46))</f>
        <v>0</v>
      </c>
      <c r="J53" s="1">
        <f>SUMPRODUCT(NOT(ISBLANK(J$3:J$46))*(J$3:J$46&lt;$Q$3:$Q$46))</f>
        <v>0</v>
      </c>
      <c r="K53" s="1">
        <f>SUMPRODUCT(NOT(ISBLANK(K$3:K$46))*(K$3:K$46&lt;$R$3:$R$46))</f>
        <v>0</v>
      </c>
      <c r="L53" s="1"/>
      <c r="M53" s="1">
        <f>SUMPRODUCT(NOT(ISBLANK(M$3:M$46))*(M$3:M$46&lt;$S$3:$S$46))</f>
        <v>0</v>
      </c>
      <c r="N53" s="1"/>
      <c r="O53" s="1"/>
      <c r="P53" s="1"/>
      <c r="Q53" s="1"/>
      <c r="R53" s="1"/>
      <c r="S53" s="1"/>
      <c r="T53" s="1"/>
      <c r="U53" s="1"/>
      <c r="V53" s="1"/>
    </row>
    <row r="54" spans="1:22">
      <c r="A54" s="1" t="s">
        <v>50</v>
      </c>
      <c r="B54" s="1">
        <f>SUMPRODUCT((NOT(ISBLANK(B$3:B$46))*(B$3:B$46&gt;$Q$3:$Q$46))+ISBLANK(B$3:B$46))</f>
        <v>0</v>
      </c>
      <c r="C54" s="1">
        <f>SUMPRODUCT((NOT(ISBLANK(C$3:C$46))*(C$3:C$46&gt;$R$3:$R$46))+ISBLANK(C$3:C$46))</f>
        <v>0</v>
      </c>
      <c r="D54" s="1"/>
      <c r="E54" s="1">
        <f>SUMPRODUCT((NOT(ISBLANK(E$3:E$46))*(E$3:E$46&gt;$S$3:$S$46))+ISBLANK(E$3:E$46))</f>
        <v>0</v>
      </c>
      <c r="F54" s="1">
        <f>SUMPRODUCT((NOT(ISBLANK(F$3:F$46))*(F$3:F$46&gt;$Q$3:$Q$46))+ISBLANK(F$3:F$46))</f>
        <v>0</v>
      </c>
      <c r="G54" s="1">
        <f>SUMPRODUCT((NOT(ISBLANK(G$3:G$46))*(G$3:G$46&gt;$R$3:$R$46))+ISBLANK(G$3:G$46))</f>
        <v>0</v>
      </c>
      <c r="H54" s="1"/>
      <c r="I54" s="1">
        <f>SUMPRODUCT((NOT(ISBLANK(I$3:I$46))*(I$3:I$46&gt;$S$3:$S$46))+ISBLANK(I$3:I$46))</f>
        <v>0</v>
      </c>
      <c r="J54" s="1">
        <f>SUMPRODUCT((NOT(ISBLANK(J$3:J$46))*(J$3:J$46&gt;$Q$3:$Q$46))+ISBLANK(J$3:J$46))</f>
        <v>0</v>
      </c>
      <c r="K54" s="1">
        <f>SUMPRODUCT((NOT(ISBLANK(K$3:K$46))*(K$3:K$46&gt;$R$3:$R$46))+ISBLANK(K$3:K$46))</f>
        <v>0</v>
      </c>
      <c r="L54" s="1"/>
      <c r="M54" s="1">
        <f>SUMPRODUCT((NOT(ISBLANK(M$3:M$46))*(M$3:M$46&gt;$S$3:$S$46))+ISBLANK(M$3:M$46))</f>
        <v>0</v>
      </c>
      <c r="N54" s="1"/>
      <c r="O54" s="1"/>
      <c r="P54" s="1"/>
      <c r="Q54" s="1"/>
      <c r="R54" s="1"/>
      <c r="S54" s="1"/>
      <c r="T54" s="1"/>
      <c r="U54" s="1"/>
      <c r="V54" s="1"/>
    </row>
    <row r="55" spans="1:22">
      <c r="A55" s="1" t="s">
        <v>51</v>
      </c>
      <c r="B55" s="1">
        <f>SUMPRODUCT((NOT(ISBLANK(B$3:B$46))*(B$3:B$46=$T$3:$T$46))+ISBLANK(B$3:B$46))</f>
        <v>0</v>
      </c>
      <c r="C55" s="1">
        <f>SUMPRODUCT((NOT(ISBLANK(C$3:C$46))*(C$3:C$46=$U$3:$U$46))+ISBLANK(C$3:C$46))</f>
        <v>0</v>
      </c>
      <c r="D55" s="1"/>
      <c r="E55" s="1">
        <f>SUMPRODUCT((NOT(ISBLANK(E$3:E$46))*(E$3:E$46=$V$3:$V$46))+ISBLANK(E$3:E$46))</f>
        <v>0</v>
      </c>
      <c r="F55" s="1">
        <f>SUMPRODUCT((NOT(ISBLANK(F$3:F$46))*(F$3:F$46=$T$3:$T$46))+ISBLANK(F$3:F$46))</f>
        <v>0</v>
      </c>
      <c r="G55" s="1">
        <f>SUMPRODUCT((NOT(ISBLANK(G$3:G$46))*(G$3:G$46=$U$3:$U$46))+ISBLANK(G$3:G$46))</f>
        <v>0</v>
      </c>
      <c r="H55" s="1"/>
      <c r="I55" s="1">
        <f>SUMPRODUCT((NOT(ISBLANK(I$3:I$46))*(I$3:I$46=$V$3:$V$46))+ISBLANK(I$3:I$46))</f>
        <v>0</v>
      </c>
      <c r="J55" s="1">
        <f>SUMPRODUCT((NOT(ISBLANK(J$3:J$46))*(J$3:J$46=$T$3:$T$46))+ISBLANK(J$3:J$46))</f>
        <v>0</v>
      </c>
      <c r="K55" s="1">
        <f>SUMPRODUCT((NOT(ISBLANK(K$3:K$46))*(K$3:K$46=$U$3:$U$46))+ISBLANK(K$3:K$46))</f>
        <v>0</v>
      </c>
      <c r="L55" s="1"/>
      <c r="M55" s="1">
        <f>SUMPRODUCT((NOT(ISBLANK(M$3:M$46))*(M$3:M$46=$V$3:$V$46))+ISBLANK(M$3:M$46))</f>
        <v>0</v>
      </c>
      <c r="N55" s="1"/>
      <c r="O55" s="1"/>
      <c r="P55" s="1"/>
      <c r="Q55" s="1"/>
      <c r="R55" s="1"/>
      <c r="S55" s="1"/>
      <c r="T55" s="1"/>
      <c r="U55" s="1"/>
      <c r="V5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5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1.85546875" customWidth="1"/>
    <col min="2" max="22" width="11.42578125" customWidth="1"/>
  </cols>
  <sheetData>
    <row r="1" spans="1:22">
      <c r="A1" s="1" t="s">
        <v>64</v>
      </c>
      <c r="B1" s="1" t="s">
        <v>52</v>
      </c>
      <c r="C1" s="1"/>
      <c r="D1" s="1"/>
      <c r="E1" s="1"/>
      <c r="F1" s="1" t="s">
        <v>59</v>
      </c>
      <c r="G1" s="1"/>
      <c r="H1" s="1"/>
      <c r="I1" s="1"/>
      <c r="J1" s="1" t="s">
        <v>60</v>
      </c>
      <c r="K1" s="1"/>
      <c r="L1" s="1"/>
      <c r="M1" s="1"/>
      <c r="N1" s="1" t="s">
        <v>61</v>
      </c>
      <c r="O1" s="1"/>
      <c r="P1" s="1"/>
      <c r="Q1" s="1" t="s">
        <v>62</v>
      </c>
      <c r="R1" s="1"/>
      <c r="S1" s="1"/>
      <c r="T1" s="1" t="s">
        <v>63</v>
      </c>
      <c r="U1" s="1"/>
      <c r="V1" s="1"/>
    </row>
    <row r="2" spans="1:22">
      <c r="A2" s="2" t="s">
        <v>62</v>
      </c>
      <c r="B2" s="1" t="s">
        <v>53</v>
      </c>
      <c r="C2" s="1" t="s">
        <v>54</v>
      </c>
      <c r="D2" s="1" t="s">
        <v>55</v>
      </c>
      <c r="E2" s="1" t="s">
        <v>58</v>
      </c>
      <c r="F2" s="1" t="s">
        <v>53</v>
      </c>
      <c r="G2" s="1" t="s">
        <v>54</v>
      </c>
      <c r="H2" s="1" t="s">
        <v>55</v>
      </c>
      <c r="I2" s="1" t="s">
        <v>58</v>
      </c>
      <c r="J2" s="1" t="s">
        <v>53</v>
      </c>
      <c r="K2" s="1" t="s">
        <v>54</v>
      </c>
      <c r="L2" s="1" t="s">
        <v>55</v>
      </c>
      <c r="M2" s="1" t="s">
        <v>58</v>
      </c>
      <c r="N2" s="1" t="s">
        <v>53</v>
      </c>
      <c r="O2" s="1" t="s">
        <v>54</v>
      </c>
      <c r="P2" s="1" t="s">
        <v>58</v>
      </c>
      <c r="Q2" s="1" t="s">
        <v>53</v>
      </c>
      <c r="R2" s="1" t="s">
        <v>54</v>
      </c>
      <c r="S2" s="1" t="s">
        <v>58</v>
      </c>
      <c r="T2" s="1" t="s">
        <v>53</v>
      </c>
      <c r="U2" s="1" t="s">
        <v>54</v>
      </c>
      <c r="V2" s="1" t="s">
        <v>58</v>
      </c>
    </row>
    <row r="3" spans="1:22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/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/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/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>
        <f>MIN($B3,$F3,$J3)</f>
        <v>0</v>
      </c>
      <c r="O3" s="1">
        <f>MIN($C3,$G3,$K3)</f>
        <v>0</v>
      </c>
      <c r="P3" s="1">
        <f>MIN($E3,$I3,$M3)</f>
        <v>0</v>
      </c>
      <c r="Q3" s="1">
        <f>MEDIAN($B3,$F3,$J3)</f>
        <v>0</v>
      </c>
      <c r="R3" s="1">
        <f>MEDIAN($C3,$G3,$K3)</f>
        <v>0</v>
      </c>
      <c r="S3" s="1">
        <f>MEDIAN($E3,$I3,$M3)</f>
        <v>0</v>
      </c>
      <c r="T3" s="1">
        <f>MAX($B3,$F3,$J3)</f>
        <v>0</v>
      </c>
      <c r="U3" s="1">
        <f>MAX($C3,$G3,$K3)</f>
        <v>0</v>
      </c>
      <c r="V3" s="1">
        <f>MAX($E3,$I3,$M3)</f>
        <v>0</v>
      </c>
    </row>
    <row r="4" spans="1:22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/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/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/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>
        <f>MIN($B4,$F4,$J4)</f>
        <v>0</v>
      </c>
      <c r="O4" s="1">
        <f>MIN($C4,$G4,$K4)</f>
        <v>0</v>
      </c>
      <c r="P4" s="1">
        <f>MIN($E4,$I4,$M4)</f>
        <v>0</v>
      </c>
      <c r="Q4" s="1">
        <f>MEDIAN($B4,$F4,$J4)</f>
        <v>0</v>
      </c>
      <c r="R4" s="1">
        <f>MEDIAN($C4,$G4,$K4)</f>
        <v>0</v>
      </c>
      <c r="S4" s="1">
        <f>MEDIAN($E4,$I4,$M4)</f>
        <v>0</v>
      </c>
      <c r="T4" s="1">
        <f>MAX($B4,$F4,$J4)</f>
        <v>0</v>
      </c>
      <c r="U4" s="1">
        <f>MAX($C4,$G4,$K4)</f>
        <v>0</v>
      </c>
      <c r="V4" s="1">
        <f>MAX($E4,$I4,$M4)</f>
        <v>0</v>
      </c>
    </row>
    <row r="5" spans="1:22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/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/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/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>
        <f>MIN($B5,$F5,$J5)</f>
        <v>0</v>
      </c>
      <c r="O5" s="1">
        <f>MIN($C5,$G5,$K5)</f>
        <v>0</v>
      </c>
      <c r="P5" s="1">
        <f>MIN($E5,$I5,$M5)</f>
        <v>0</v>
      </c>
      <c r="Q5" s="1">
        <f>MEDIAN($B5,$F5,$J5)</f>
        <v>0</v>
      </c>
      <c r="R5" s="1">
        <f>MEDIAN($C5,$G5,$K5)</f>
        <v>0</v>
      </c>
      <c r="S5" s="1">
        <f>MEDIAN($E5,$I5,$M5)</f>
        <v>0</v>
      </c>
      <c r="T5" s="1">
        <f>MAX($B5,$F5,$J5)</f>
        <v>0</v>
      </c>
      <c r="U5" s="1">
        <f>MAX($C5,$G5,$K5)</f>
        <v>0</v>
      </c>
      <c r="V5" s="1">
        <f>MAX($E5,$I5,$M5)</f>
        <v>0</v>
      </c>
    </row>
    <row r="6" spans="1:22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/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/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/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>
        <f>MIN($B6,$F6,$J6)</f>
        <v>0</v>
      </c>
      <c r="O6" s="1">
        <f>MIN($C6,$G6,$K6)</f>
        <v>0</v>
      </c>
      <c r="P6" s="1">
        <f>MIN($E6,$I6,$M6)</f>
        <v>0</v>
      </c>
      <c r="Q6" s="1">
        <f>MEDIAN($B6,$F6,$J6)</f>
        <v>0</v>
      </c>
      <c r="R6" s="1">
        <f>MEDIAN($C6,$G6,$K6)</f>
        <v>0</v>
      </c>
      <c r="S6" s="1">
        <f>MEDIAN($E6,$I6,$M6)</f>
        <v>0</v>
      </c>
      <c r="T6" s="1">
        <f>MAX($B6,$F6,$J6)</f>
        <v>0</v>
      </c>
      <c r="U6" s="1">
        <f>MAX($C6,$G6,$K6)</f>
        <v>0</v>
      </c>
      <c r="V6" s="1">
        <f>MAX($E6,$I6,$M6)</f>
        <v>0</v>
      </c>
    </row>
    <row r="7" spans="1:22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/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/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/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>
        <f>MIN($B7,$F7,$J7)</f>
        <v>0</v>
      </c>
      <c r="O7" s="1">
        <f>MIN($C7,$G7,$K7)</f>
        <v>0</v>
      </c>
      <c r="P7" s="1">
        <f>MIN($E7,$I7,$M7)</f>
        <v>0</v>
      </c>
      <c r="Q7" s="1">
        <f>MEDIAN($B7,$F7,$J7)</f>
        <v>0</v>
      </c>
      <c r="R7" s="1">
        <f>MEDIAN($C7,$G7,$K7)</f>
        <v>0</v>
      </c>
      <c r="S7" s="1">
        <f>MEDIAN($E7,$I7,$M7)</f>
        <v>0</v>
      </c>
      <c r="T7" s="1">
        <f>MAX($B7,$F7,$J7)</f>
        <v>0</v>
      </c>
      <c r="U7" s="1">
        <f>MAX($C7,$G7,$K7)</f>
        <v>0</v>
      </c>
      <c r="V7" s="1">
        <f>MAX($E7,$I7,$M7)</f>
        <v>0</v>
      </c>
    </row>
    <row r="8" spans="1:22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/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/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/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>
        <f>MIN($B8,$F8,$J8)</f>
        <v>0</v>
      </c>
      <c r="O8" s="1">
        <f>MIN($C8,$G8,$K8)</f>
        <v>0</v>
      </c>
      <c r="P8" s="1">
        <f>MIN($E8,$I8,$M8)</f>
        <v>0</v>
      </c>
      <c r="Q8" s="1">
        <f>MEDIAN($B8,$F8,$J8)</f>
        <v>0</v>
      </c>
      <c r="R8" s="1">
        <f>MEDIAN($C8,$G8,$K8)</f>
        <v>0</v>
      </c>
      <c r="S8" s="1">
        <f>MEDIAN($E8,$I8,$M8)</f>
        <v>0</v>
      </c>
      <c r="T8" s="1">
        <f>MAX($B8,$F8,$J8)</f>
        <v>0</v>
      </c>
      <c r="U8" s="1">
        <f>MAX($C8,$G8,$K8)</f>
        <v>0</v>
      </c>
      <c r="V8" s="1">
        <f>MAX($E8,$I8,$M8)</f>
        <v>0</v>
      </c>
    </row>
    <row r="9" spans="1:22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/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/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/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>
        <f>MIN($B9,$F9,$J9)</f>
        <v>0</v>
      </c>
      <c r="O9" s="1">
        <f>MIN($C9,$G9,$K9)</f>
        <v>0</v>
      </c>
      <c r="P9" s="1">
        <f>MIN($E9,$I9,$M9)</f>
        <v>0</v>
      </c>
      <c r="Q9" s="1">
        <f>MEDIAN($B9,$F9,$J9)</f>
        <v>0</v>
      </c>
      <c r="R9" s="1">
        <f>MEDIAN($C9,$G9,$K9)</f>
        <v>0</v>
      </c>
      <c r="S9" s="1">
        <f>MEDIAN($E9,$I9,$M9)</f>
        <v>0</v>
      </c>
      <c r="T9" s="1">
        <f>MAX($B9,$F9,$J9)</f>
        <v>0</v>
      </c>
      <c r="U9" s="1">
        <f>MAX($C9,$G9,$K9)</f>
        <v>0</v>
      </c>
      <c r="V9" s="1">
        <f>MAX($E9,$I9,$M9)</f>
        <v>0</v>
      </c>
    </row>
    <row r="10" spans="1:22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/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/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 cm="1">
        <f t="array" ref="K10">_xlfn.SWITCH($A$2,"average", AVERAGE(Instances!K10:Instances!K10),"median", MEDIAN(Instances!K10:Instances!K10),"min", MIN(Instances!K10:Instances!K10),"max", MAX(Instances!K10:Instances!K10),"diff", MAX(Instances!K10:Instances!K10)-MIN(Instances!K10:Instances!K10))</f>
        <v>0</v>
      </c>
      <c r="L10" s="1"/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>
        <f>MIN($B10,$F10,$J10)</f>
        <v>0</v>
      </c>
      <c r="O10" s="1">
        <f>MIN($C10,$G10,$K10)</f>
        <v>0</v>
      </c>
      <c r="P10" s="1">
        <f>MIN($E10,$I10,$M10)</f>
        <v>0</v>
      </c>
      <c r="Q10" s="1">
        <f>MEDIAN($B10,$F10,$J10)</f>
        <v>0</v>
      </c>
      <c r="R10" s="1">
        <f>MEDIAN($C10,$G10,$K10)</f>
        <v>0</v>
      </c>
      <c r="S10" s="1">
        <f>MEDIAN($E10,$I10,$M10)</f>
        <v>0</v>
      </c>
      <c r="T10" s="1">
        <f>MAX($B10,$F10,$J10)</f>
        <v>0</v>
      </c>
      <c r="U10" s="1">
        <f>MAX($C10,$G10,$K10)</f>
        <v>0</v>
      </c>
      <c r="V10" s="1">
        <f>MAX($E10,$I10,$M10)</f>
        <v>0</v>
      </c>
    </row>
    <row r="11" spans="1:22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/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/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/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>
        <f>MIN($B11,$F11,$J11)</f>
        <v>0</v>
      </c>
      <c r="O11" s="1">
        <f>MIN($C11,$G11,$K11)</f>
        <v>0</v>
      </c>
      <c r="P11" s="1">
        <f>MIN($E11,$I11,$M11)</f>
        <v>0</v>
      </c>
      <c r="Q11" s="1">
        <f>MEDIAN($B11,$F11,$J11)</f>
        <v>0</v>
      </c>
      <c r="R11" s="1">
        <f>MEDIAN($C11,$G11,$K11)</f>
        <v>0</v>
      </c>
      <c r="S11" s="1">
        <f>MEDIAN($E11,$I11,$M11)</f>
        <v>0</v>
      </c>
      <c r="T11" s="1">
        <f>MAX($B11,$F11,$J11)</f>
        <v>0</v>
      </c>
      <c r="U11" s="1">
        <f>MAX($C11,$G11,$K11)</f>
        <v>0</v>
      </c>
      <c r="V11" s="1">
        <f>MAX($E11,$I11,$M11)</f>
        <v>0</v>
      </c>
    </row>
    <row r="12" spans="1:22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/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/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 cm="1">
        <f t="array" ref="K12">_xlfn.SWITCH($A$2,"average", AVERAGE(Instances!K12:Instances!K12),"median", MEDIAN(Instances!K12:Instances!K12),"min", MIN(Instances!K12:Instances!K12),"max", MAX(Instances!K12:Instances!K12),"diff", MAX(Instances!K12:Instances!K12)-MIN(Instances!K12:Instances!K12))</f>
        <v>0</v>
      </c>
      <c r="L12" s="1"/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>
        <f>MIN($B12,$F12,$J12)</f>
        <v>0</v>
      </c>
      <c r="O12" s="1">
        <f>MIN($C12,$G12,$K12)</f>
        <v>0</v>
      </c>
      <c r="P12" s="1">
        <f>MIN($E12,$I12,$M12)</f>
        <v>0</v>
      </c>
      <c r="Q12" s="1">
        <f>MEDIAN($B12,$F12,$J12)</f>
        <v>0</v>
      </c>
      <c r="R12" s="1">
        <f>MEDIAN($C12,$G12,$K12)</f>
        <v>0</v>
      </c>
      <c r="S12" s="1">
        <f>MEDIAN($E12,$I12,$M12)</f>
        <v>0</v>
      </c>
      <c r="T12" s="1">
        <f>MAX($B12,$F12,$J12)</f>
        <v>0</v>
      </c>
      <c r="U12" s="1">
        <f>MAX($C12,$G12,$K12)</f>
        <v>0</v>
      </c>
      <c r="V12" s="1">
        <f>MAX($E12,$I12,$M12)</f>
        <v>0</v>
      </c>
    </row>
    <row r="13" spans="1:22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/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/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 cm="1">
        <f t="array" ref="K13">_xlfn.SWITCH($A$2,"average", AVERAGE(Instances!K13:Instances!K13),"median", MEDIAN(Instances!K13:Instances!K13),"min", MIN(Instances!K13:Instances!K13),"max", MAX(Instances!K13:Instances!K13),"diff", MAX(Instances!K13:Instances!K13)-MIN(Instances!K13:Instances!K13))</f>
        <v>0</v>
      </c>
      <c r="L13" s="1"/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>
        <f>MIN($B13,$F13,$J13)</f>
        <v>0</v>
      </c>
      <c r="O13" s="1">
        <f>MIN($C13,$G13,$K13)</f>
        <v>0</v>
      </c>
      <c r="P13" s="1">
        <f>MIN($E13,$I13,$M13)</f>
        <v>0</v>
      </c>
      <c r="Q13" s="1">
        <f>MEDIAN($B13,$F13,$J13)</f>
        <v>0</v>
      </c>
      <c r="R13" s="1">
        <f>MEDIAN($C13,$G13,$K13)</f>
        <v>0</v>
      </c>
      <c r="S13" s="1">
        <f>MEDIAN($E13,$I13,$M13)</f>
        <v>0</v>
      </c>
      <c r="T13" s="1">
        <f>MAX($B13,$F13,$J13)</f>
        <v>0</v>
      </c>
      <c r="U13" s="1">
        <f>MAX($C13,$G13,$K13)</f>
        <v>0</v>
      </c>
      <c r="V13" s="1">
        <f>MAX($E13,$I13,$M13)</f>
        <v>0</v>
      </c>
    </row>
    <row r="14" spans="1:22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/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/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 cm="1">
        <f t="array" ref="K14">_xlfn.SWITCH($A$2,"average", AVERAGE(Instances!K14:Instances!K14),"median", MEDIAN(Instances!K14:Instances!K14),"min", MIN(Instances!K14:Instances!K14),"max", MAX(Instances!K14:Instances!K14),"diff", MAX(Instances!K14:Instances!K14)-MIN(Instances!K14:Instances!K14))</f>
        <v>0</v>
      </c>
      <c r="L14" s="1"/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>
        <f>MIN($B14,$F14,$J14)</f>
        <v>0</v>
      </c>
      <c r="O14" s="1">
        <f>MIN($C14,$G14,$K14)</f>
        <v>0</v>
      </c>
      <c r="P14" s="1">
        <f>MIN($E14,$I14,$M14)</f>
        <v>0</v>
      </c>
      <c r="Q14" s="1">
        <f>MEDIAN($B14,$F14,$J14)</f>
        <v>0</v>
      </c>
      <c r="R14" s="1">
        <f>MEDIAN($C14,$G14,$K14)</f>
        <v>0</v>
      </c>
      <c r="S14" s="1">
        <f>MEDIAN($E14,$I14,$M14)</f>
        <v>0</v>
      </c>
      <c r="T14" s="1">
        <f>MAX($B14,$F14,$J14)</f>
        <v>0</v>
      </c>
      <c r="U14" s="1">
        <f>MAX($C14,$G14,$K14)</f>
        <v>0</v>
      </c>
      <c r="V14" s="1">
        <f>MAX($E14,$I14,$M14)</f>
        <v>0</v>
      </c>
    </row>
    <row r="15" spans="1:22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/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/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 cm="1">
        <f t="array" ref="K15">_xlfn.SWITCH($A$2,"average", AVERAGE(Instances!K15:Instances!K15),"median", MEDIAN(Instances!K15:Instances!K15),"min", MIN(Instances!K15:Instances!K15),"max", MAX(Instances!K15:Instances!K15),"diff", MAX(Instances!K15:Instances!K15)-MIN(Instances!K15:Instances!K15))</f>
        <v>0</v>
      </c>
      <c r="L15" s="1"/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>
        <f>MIN($B15,$F15,$J15)</f>
        <v>0</v>
      </c>
      <c r="O15" s="1">
        <f>MIN($C15,$G15,$K15)</f>
        <v>0</v>
      </c>
      <c r="P15" s="1">
        <f>MIN($E15,$I15,$M15)</f>
        <v>0</v>
      </c>
      <c r="Q15" s="1">
        <f>MEDIAN($B15,$F15,$J15)</f>
        <v>0</v>
      </c>
      <c r="R15" s="1">
        <f>MEDIAN($C15,$G15,$K15)</f>
        <v>0</v>
      </c>
      <c r="S15" s="1">
        <f>MEDIAN($E15,$I15,$M15)</f>
        <v>0</v>
      </c>
      <c r="T15" s="1">
        <f>MAX($B15,$F15,$J15)</f>
        <v>0</v>
      </c>
      <c r="U15" s="1">
        <f>MAX($C15,$G15,$K15)</f>
        <v>0</v>
      </c>
      <c r="V15" s="1">
        <f>MAX($E15,$I15,$M15)</f>
        <v>0</v>
      </c>
    </row>
    <row r="16" spans="1:22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/>
      <c r="D16" s="1"/>
      <c r="E16" s="1"/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/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 cm="1">
        <f t="array" ref="K16">_xlfn.SWITCH($A$2,"average", AVERAGE(Instances!K16:Instances!K16),"median", MEDIAN(Instances!K16:Instances!K16),"min", MIN(Instances!K16:Instances!K16),"max", MAX(Instances!K16:Instances!K16),"diff", MAX(Instances!K16:Instances!K16)-MIN(Instances!K16:Instances!K16))</f>
        <v>0</v>
      </c>
      <c r="L16" s="1"/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>
        <f>MIN($B16,$F16,$J16)</f>
        <v>0</v>
      </c>
      <c r="O16" s="1">
        <f>MIN($C16,$G16,$K16)</f>
        <v>0</v>
      </c>
      <c r="P16" s="1">
        <f>MIN($E16,$I16,$M16)</f>
        <v>0</v>
      </c>
      <c r="Q16" s="1">
        <f>MEDIAN($B16,$F16,$J16)</f>
        <v>0</v>
      </c>
      <c r="R16" s="1">
        <f>MEDIAN($C16,$G16,$K16)</f>
        <v>0</v>
      </c>
      <c r="S16" s="1">
        <f>MEDIAN($E16,$I16,$M16)</f>
        <v>0</v>
      </c>
      <c r="T16" s="1">
        <f>MAX($B16,$F16,$J16)</f>
        <v>0</v>
      </c>
      <c r="U16" s="1">
        <f>MAX($C16,$G16,$K16)</f>
        <v>0</v>
      </c>
      <c r="V16" s="1">
        <f>MAX($E16,$I16,$M16)</f>
        <v>0</v>
      </c>
    </row>
    <row r="17" spans="1:22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/>
      <c r="D17" s="1"/>
      <c r="E17" s="1"/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/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 cm="1">
        <f t="array" ref="K17">_xlfn.SWITCH($A$2,"average", AVERAGE(Instances!K17:Instances!K17),"median", MEDIAN(Instances!K17:Instances!K17),"min", MIN(Instances!K17:Instances!K17),"max", MAX(Instances!K17:Instances!K17),"diff", MAX(Instances!K17:Instances!K17)-MIN(Instances!K17:Instances!K17))</f>
        <v>0</v>
      </c>
      <c r="L17" s="1"/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>
        <f>MIN($B17,$F17,$J17)</f>
        <v>0</v>
      </c>
      <c r="O17" s="1">
        <f>MIN($C17,$G17,$K17)</f>
        <v>0</v>
      </c>
      <c r="P17" s="1">
        <f>MIN($E17,$I17,$M17)</f>
        <v>0</v>
      </c>
      <c r="Q17" s="1">
        <f>MEDIAN($B17,$F17,$J17)</f>
        <v>0</v>
      </c>
      <c r="R17" s="1">
        <f>MEDIAN($C17,$G17,$K17)</f>
        <v>0</v>
      </c>
      <c r="S17" s="1">
        <f>MEDIAN($E17,$I17,$M17)</f>
        <v>0</v>
      </c>
      <c r="T17" s="1">
        <f>MAX($B17,$F17,$J17)</f>
        <v>0</v>
      </c>
      <c r="U17" s="1">
        <f>MAX($C17,$G17,$K17)</f>
        <v>0</v>
      </c>
      <c r="V17" s="1">
        <f>MAX($E17,$I17,$M17)</f>
        <v>0</v>
      </c>
    </row>
    <row r="18" spans="1:22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/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/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 cm="1">
        <f t="array" ref="K18">_xlfn.SWITCH($A$2,"average", AVERAGE(Instances!K18:Instances!K18),"median", MEDIAN(Instances!K18:Instances!K18),"min", MIN(Instances!K18:Instances!K18),"max", MAX(Instances!K18:Instances!K18),"diff", MAX(Instances!K18:Instances!K18)-MIN(Instances!K18:Instances!K18))</f>
        <v>0</v>
      </c>
      <c r="L18" s="1"/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>
        <f>MIN($B18,$F18,$J18)</f>
        <v>0</v>
      </c>
      <c r="O18" s="1">
        <f>MIN($C18,$G18,$K18)</f>
        <v>0</v>
      </c>
      <c r="P18" s="1">
        <f>MIN($E18,$I18,$M18)</f>
        <v>0</v>
      </c>
      <c r="Q18" s="1">
        <f>MEDIAN($B18,$F18,$J18)</f>
        <v>0</v>
      </c>
      <c r="R18" s="1">
        <f>MEDIAN($C18,$G18,$K18)</f>
        <v>0</v>
      </c>
      <c r="S18" s="1">
        <f>MEDIAN($E18,$I18,$M18)</f>
        <v>0</v>
      </c>
      <c r="T18" s="1">
        <f>MAX($B18,$F18,$J18)</f>
        <v>0</v>
      </c>
      <c r="U18" s="1">
        <f>MAX($C18,$G18,$K18)</f>
        <v>0</v>
      </c>
      <c r="V18" s="1">
        <f>MAX($E18,$I18,$M18)</f>
        <v>0</v>
      </c>
    </row>
    <row r="19" spans="1:22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/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/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 cm="1">
        <f t="array" ref="K19">_xlfn.SWITCH($A$2,"average", AVERAGE(Instances!K19:Instances!K19),"median", MEDIAN(Instances!K19:Instances!K19),"min", MIN(Instances!K19:Instances!K19),"max", MAX(Instances!K19:Instances!K19),"diff", MAX(Instances!K19:Instances!K19)-MIN(Instances!K19:Instances!K19))</f>
        <v>0</v>
      </c>
      <c r="L19" s="1"/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>
        <f>MIN($B19,$F19,$J19)</f>
        <v>0</v>
      </c>
      <c r="O19" s="1">
        <f>MIN($C19,$G19,$K19)</f>
        <v>0</v>
      </c>
      <c r="P19" s="1">
        <f>MIN($E19,$I19,$M19)</f>
        <v>0</v>
      </c>
      <c r="Q19" s="1">
        <f>MEDIAN($B19,$F19,$J19)</f>
        <v>0</v>
      </c>
      <c r="R19" s="1">
        <f>MEDIAN($C19,$G19,$K19)</f>
        <v>0</v>
      </c>
      <c r="S19" s="1">
        <f>MEDIAN($E19,$I19,$M19)</f>
        <v>0</v>
      </c>
      <c r="T19" s="1">
        <f>MAX($B19,$F19,$J19)</f>
        <v>0</v>
      </c>
      <c r="U19" s="1">
        <f>MAX($C19,$G19,$K19)</f>
        <v>0</v>
      </c>
      <c r="V19" s="1">
        <f>MAX($E19,$I19,$M19)</f>
        <v>0</v>
      </c>
    </row>
    <row r="20" spans="1:22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/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/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 cm="1">
        <f t="array" ref="K20">_xlfn.SWITCH($A$2,"average", AVERAGE(Instances!K20:Instances!K20),"median", MEDIAN(Instances!K20:Instances!K20),"min", MIN(Instances!K20:Instances!K20),"max", MAX(Instances!K20:Instances!K20),"diff", MAX(Instances!K20:Instances!K20)-MIN(Instances!K20:Instances!K20))</f>
        <v>0</v>
      </c>
      <c r="L20" s="1"/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>
        <f>MIN($B20,$F20,$J20)</f>
        <v>0</v>
      </c>
      <c r="O20" s="1">
        <f>MIN($C20,$G20,$K20)</f>
        <v>0</v>
      </c>
      <c r="P20" s="1">
        <f>MIN($E20,$I20,$M20)</f>
        <v>0</v>
      </c>
      <c r="Q20" s="1">
        <f>MEDIAN($B20,$F20,$J20)</f>
        <v>0</v>
      </c>
      <c r="R20" s="1">
        <f>MEDIAN($C20,$G20,$K20)</f>
        <v>0</v>
      </c>
      <c r="S20" s="1">
        <f>MEDIAN($E20,$I20,$M20)</f>
        <v>0</v>
      </c>
      <c r="T20" s="1">
        <f>MAX($B20,$F20,$J20)</f>
        <v>0</v>
      </c>
      <c r="U20" s="1">
        <f>MAX($C20,$G20,$K20)</f>
        <v>0</v>
      </c>
      <c r="V20" s="1">
        <f>MAX($E20,$I20,$M20)</f>
        <v>0</v>
      </c>
    </row>
    <row r="21" spans="1:22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/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/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 cm="1">
        <f t="array" ref="K21">_xlfn.SWITCH($A$2,"average", AVERAGE(Instances!K21:Instances!K21),"median", MEDIAN(Instances!K21:Instances!K21),"min", MIN(Instances!K21:Instances!K21),"max", MAX(Instances!K21:Instances!K21),"diff", MAX(Instances!K21:Instances!K21)-MIN(Instances!K21:Instances!K21))</f>
        <v>0</v>
      </c>
      <c r="L21" s="1"/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>
        <f>MIN($B21,$F21,$J21)</f>
        <v>0</v>
      </c>
      <c r="O21" s="1">
        <f>MIN($C21,$G21,$K21)</f>
        <v>0</v>
      </c>
      <c r="P21" s="1">
        <f>MIN($E21,$I21,$M21)</f>
        <v>0</v>
      </c>
      <c r="Q21" s="1">
        <f>MEDIAN($B21,$F21,$J21)</f>
        <v>0</v>
      </c>
      <c r="R21" s="1">
        <f>MEDIAN($C21,$G21,$K21)</f>
        <v>0</v>
      </c>
      <c r="S21" s="1">
        <f>MEDIAN($E21,$I21,$M21)</f>
        <v>0</v>
      </c>
      <c r="T21" s="1">
        <f>MAX($B21,$F21,$J21)</f>
        <v>0</v>
      </c>
      <c r="U21" s="1">
        <f>MAX($C21,$G21,$K21)</f>
        <v>0</v>
      </c>
      <c r="V21" s="1">
        <f>MAX($E21,$I21,$M21)</f>
        <v>0</v>
      </c>
    </row>
    <row r="22" spans="1:22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/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/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 cm="1">
        <f t="array" ref="K22">_xlfn.SWITCH($A$2,"average", AVERAGE(Instances!K22:Instances!K22),"median", MEDIAN(Instances!K22:Instances!K22),"min", MIN(Instances!K22:Instances!K22),"max", MAX(Instances!K22:Instances!K22),"diff", MAX(Instances!K22:Instances!K22)-MIN(Instances!K22:Instances!K22))</f>
        <v>0</v>
      </c>
      <c r="L22" s="1"/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>
        <f>MIN($B22,$F22,$J22)</f>
        <v>0</v>
      </c>
      <c r="O22" s="1">
        <f>MIN($C22,$G22,$K22)</f>
        <v>0</v>
      </c>
      <c r="P22" s="1">
        <f>MIN($E22,$I22,$M22)</f>
        <v>0</v>
      </c>
      <c r="Q22" s="1">
        <f>MEDIAN($B22,$F22,$J22)</f>
        <v>0</v>
      </c>
      <c r="R22" s="1">
        <f>MEDIAN($C22,$G22,$K22)</f>
        <v>0</v>
      </c>
      <c r="S22" s="1">
        <f>MEDIAN($E22,$I22,$M22)</f>
        <v>0</v>
      </c>
      <c r="T22" s="1">
        <f>MAX($B22,$F22,$J22)</f>
        <v>0</v>
      </c>
      <c r="U22" s="1">
        <f>MAX($C22,$G22,$K22)</f>
        <v>0</v>
      </c>
      <c r="V22" s="1">
        <f>MAX($E22,$I22,$M22)</f>
        <v>0</v>
      </c>
    </row>
    <row r="23" spans="1:22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/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/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 cm="1">
        <f t="array" ref="K23">_xlfn.SWITCH($A$2,"average", AVERAGE(Instances!K23:Instances!K23),"median", MEDIAN(Instances!K23:Instances!K23),"min", MIN(Instances!K23:Instances!K23),"max", MAX(Instances!K23:Instances!K23),"diff", MAX(Instances!K23:Instances!K23)-MIN(Instances!K23:Instances!K23))</f>
        <v>0</v>
      </c>
      <c r="L23" s="1"/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>
        <f>MIN($B23,$F23,$J23)</f>
        <v>0</v>
      </c>
      <c r="O23" s="1">
        <f>MIN($C23,$G23,$K23)</f>
        <v>0</v>
      </c>
      <c r="P23" s="1">
        <f>MIN($E23,$I23,$M23)</f>
        <v>0</v>
      </c>
      <c r="Q23" s="1">
        <f>MEDIAN($B23,$F23,$J23)</f>
        <v>0</v>
      </c>
      <c r="R23" s="1">
        <f>MEDIAN($C23,$G23,$K23)</f>
        <v>0</v>
      </c>
      <c r="S23" s="1">
        <f>MEDIAN($E23,$I23,$M23)</f>
        <v>0</v>
      </c>
      <c r="T23" s="1">
        <f>MAX($B23,$F23,$J23)</f>
        <v>0</v>
      </c>
      <c r="U23" s="1">
        <f>MAX($C23,$G23,$K23)</f>
        <v>0</v>
      </c>
      <c r="V23" s="1">
        <f>MAX($E23,$I23,$M23)</f>
        <v>0</v>
      </c>
    </row>
    <row r="24" spans="1:22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/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/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 cm="1">
        <f t="array" ref="K24">_xlfn.SWITCH($A$2,"average", AVERAGE(Instances!K24:Instances!K24),"median", MEDIAN(Instances!K24:Instances!K24),"min", MIN(Instances!K24:Instances!K24),"max", MAX(Instances!K24:Instances!K24),"diff", MAX(Instances!K24:Instances!K24)-MIN(Instances!K24:Instances!K24))</f>
        <v>0</v>
      </c>
      <c r="L24" s="1"/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>
        <f>MIN($B24,$F24,$J24)</f>
        <v>0</v>
      </c>
      <c r="O24" s="1">
        <f>MIN($C24,$G24,$K24)</f>
        <v>0</v>
      </c>
      <c r="P24" s="1">
        <f>MIN($E24,$I24,$M24)</f>
        <v>0</v>
      </c>
      <c r="Q24" s="1">
        <f>MEDIAN($B24,$F24,$J24)</f>
        <v>0</v>
      </c>
      <c r="R24" s="1">
        <f>MEDIAN($C24,$G24,$K24)</f>
        <v>0</v>
      </c>
      <c r="S24" s="1">
        <f>MEDIAN($E24,$I24,$M24)</f>
        <v>0</v>
      </c>
      <c r="T24" s="1">
        <f>MAX($B24,$F24,$J24)</f>
        <v>0</v>
      </c>
      <c r="U24" s="1">
        <f>MAX($C24,$G24,$K24)</f>
        <v>0</v>
      </c>
      <c r="V24" s="1">
        <f>MAX($E24,$I24,$M24)</f>
        <v>0</v>
      </c>
    </row>
    <row r="25" spans="1:22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/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/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 cm="1">
        <f t="array" ref="K25">_xlfn.SWITCH($A$2,"average", AVERAGE(Instances!K25:Instances!K25),"median", MEDIAN(Instances!K25:Instances!K25),"min", MIN(Instances!K25:Instances!K25),"max", MAX(Instances!K25:Instances!K25),"diff", MAX(Instances!K25:Instances!K25)-MIN(Instances!K25:Instances!K25))</f>
        <v>0</v>
      </c>
      <c r="L25" s="1"/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>
        <f>MIN($B25,$F25,$J25)</f>
        <v>0</v>
      </c>
      <c r="O25" s="1">
        <f>MIN($C25,$G25,$K25)</f>
        <v>0</v>
      </c>
      <c r="P25" s="1">
        <f>MIN($E25,$I25,$M25)</f>
        <v>0</v>
      </c>
      <c r="Q25" s="1">
        <f>MEDIAN($B25,$F25,$J25)</f>
        <v>0</v>
      </c>
      <c r="R25" s="1">
        <f>MEDIAN($C25,$G25,$K25)</f>
        <v>0</v>
      </c>
      <c r="S25" s="1">
        <f>MEDIAN($E25,$I25,$M25)</f>
        <v>0</v>
      </c>
      <c r="T25" s="1">
        <f>MAX($B25,$F25,$J25)</f>
        <v>0</v>
      </c>
      <c r="U25" s="1">
        <f>MAX($C25,$G25,$K25)</f>
        <v>0</v>
      </c>
      <c r="V25" s="1">
        <f>MAX($E25,$I25,$M25)</f>
        <v>0</v>
      </c>
    </row>
    <row r="26" spans="1:22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/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/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 cm="1">
        <f t="array" ref="K26">_xlfn.SWITCH($A$2,"average", AVERAGE(Instances!K26:Instances!K26),"median", MEDIAN(Instances!K26:Instances!K26),"min", MIN(Instances!K26:Instances!K26),"max", MAX(Instances!K26:Instances!K26),"diff", MAX(Instances!K26:Instances!K26)-MIN(Instances!K26:Instances!K26))</f>
        <v>0</v>
      </c>
      <c r="L26" s="1"/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>
        <f>MIN($B26,$F26,$J26)</f>
        <v>0</v>
      </c>
      <c r="O26" s="1">
        <f>MIN($C26,$G26,$K26)</f>
        <v>0</v>
      </c>
      <c r="P26" s="1">
        <f>MIN($E26,$I26,$M26)</f>
        <v>0</v>
      </c>
      <c r="Q26" s="1">
        <f>MEDIAN($B26,$F26,$J26)</f>
        <v>0</v>
      </c>
      <c r="R26" s="1">
        <f>MEDIAN($C26,$G26,$K26)</f>
        <v>0</v>
      </c>
      <c r="S26" s="1">
        <f>MEDIAN($E26,$I26,$M26)</f>
        <v>0</v>
      </c>
      <c r="T26" s="1">
        <f>MAX($B26,$F26,$J26)</f>
        <v>0</v>
      </c>
      <c r="U26" s="1">
        <f>MAX($C26,$G26,$K26)</f>
        <v>0</v>
      </c>
      <c r="V26" s="1">
        <f>MAX($E26,$I26,$M26)</f>
        <v>0</v>
      </c>
    </row>
    <row r="27" spans="1:22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/>
      <c r="D27" s="1"/>
      <c r="E27" s="1"/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/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 cm="1">
        <f t="array" ref="K27">_xlfn.SWITCH($A$2,"average", AVERAGE(Instances!K27:Instances!K27),"median", MEDIAN(Instances!K27:Instances!K27),"min", MIN(Instances!K27:Instances!K27),"max", MAX(Instances!K27:Instances!K27),"diff", MAX(Instances!K27:Instances!K27)-MIN(Instances!K27:Instances!K27))</f>
        <v>0</v>
      </c>
      <c r="L27" s="1"/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>
        <f>MIN($B27,$F27,$J27)</f>
        <v>0</v>
      </c>
      <c r="O27" s="1">
        <f>MIN($C27,$G27,$K27)</f>
        <v>0</v>
      </c>
      <c r="P27" s="1">
        <f>MIN($E27,$I27,$M27)</f>
        <v>0</v>
      </c>
      <c r="Q27" s="1">
        <f>MEDIAN($B27,$F27,$J27)</f>
        <v>0</v>
      </c>
      <c r="R27" s="1">
        <f>MEDIAN($C27,$G27,$K27)</f>
        <v>0</v>
      </c>
      <c r="S27" s="1">
        <f>MEDIAN($E27,$I27,$M27)</f>
        <v>0</v>
      </c>
      <c r="T27" s="1">
        <f>MAX($B27,$F27,$J27)</f>
        <v>0</v>
      </c>
      <c r="U27" s="1">
        <f>MAX($C27,$G27,$K27)</f>
        <v>0</v>
      </c>
      <c r="V27" s="1">
        <f>MAX($E27,$I27,$M27)</f>
        <v>0</v>
      </c>
    </row>
    <row r="28" spans="1:22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/>
      <c r="D28" s="1"/>
      <c r="E28" s="1"/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/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 cm="1">
        <f t="array" ref="K28">_xlfn.SWITCH($A$2,"average", AVERAGE(Instances!K28:Instances!K28),"median", MEDIAN(Instances!K28:Instances!K28),"min", MIN(Instances!K28:Instances!K28),"max", MAX(Instances!K28:Instances!K28),"diff", MAX(Instances!K28:Instances!K28)-MIN(Instances!K28:Instances!K28))</f>
        <v>0</v>
      </c>
      <c r="L28" s="1"/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>
        <f>MIN($B28,$F28,$J28)</f>
        <v>0</v>
      </c>
      <c r="O28" s="1">
        <f>MIN($C28,$G28,$K28)</f>
        <v>0</v>
      </c>
      <c r="P28" s="1">
        <f>MIN($E28,$I28,$M28)</f>
        <v>0</v>
      </c>
      <c r="Q28" s="1">
        <f>MEDIAN($B28,$F28,$J28)</f>
        <v>0</v>
      </c>
      <c r="R28" s="1">
        <f>MEDIAN($C28,$G28,$K28)</f>
        <v>0</v>
      </c>
      <c r="S28" s="1">
        <f>MEDIAN($E28,$I28,$M28)</f>
        <v>0</v>
      </c>
      <c r="T28" s="1">
        <f>MAX($B28,$F28,$J28)</f>
        <v>0</v>
      </c>
      <c r="U28" s="1">
        <f>MAX($C28,$G28,$K28)</f>
        <v>0</v>
      </c>
      <c r="V28" s="1">
        <f>MAX($E28,$I28,$M28)</f>
        <v>0</v>
      </c>
    </row>
    <row r="29" spans="1:22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/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/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/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>
        <f>MIN($B29,$F29,$J29)</f>
        <v>0</v>
      </c>
      <c r="O29" s="1">
        <f>MIN($C29,$G29,$K29)</f>
        <v>0</v>
      </c>
      <c r="P29" s="1">
        <f>MIN($E29,$I29,$M29)</f>
        <v>0</v>
      </c>
      <c r="Q29" s="1">
        <f>MEDIAN($B29,$F29,$J29)</f>
        <v>0</v>
      </c>
      <c r="R29" s="1">
        <f>MEDIAN($C29,$G29,$K29)</f>
        <v>0</v>
      </c>
      <c r="S29" s="1">
        <f>MEDIAN($E29,$I29,$M29)</f>
        <v>0</v>
      </c>
      <c r="T29" s="1">
        <f>MAX($B29,$F29,$J29)</f>
        <v>0</v>
      </c>
      <c r="U29" s="1">
        <f>MAX($C29,$G29,$K29)</f>
        <v>0</v>
      </c>
      <c r="V29" s="1">
        <f>MAX($E29,$I29,$M29)</f>
        <v>0</v>
      </c>
    </row>
    <row r="30" spans="1:22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/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/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/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>
        <f>MIN($B30,$F30,$J30)</f>
        <v>0</v>
      </c>
      <c r="O30" s="1">
        <f>MIN($C30,$G30,$K30)</f>
        <v>0</v>
      </c>
      <c r="P30" s="1">
        <f>MIN($E30,$I30,$M30)</f>
        <v>0</v>
      </c>
      <c r="Q30" s="1">
        <f>MEDIAN($B30,$F30,$J30)</f>
        <v>0</v>
      </c>
      <c r="R30" s="1">
        <f>MEDIAN($C30,$G30,$K30)</f>
        <v>0</v>
      </c>
      <c r="S30" s="1">
        <f>MEDIAN($E30,$I30,$M30)</f>
        <v>0</v>
      </c>
      <c r="T30" s="1">
        <f>MAX($B30,$F30,$J30)</f>
        <v>0</v>
      </c>
      <c r="U30" s="1">
        <f>MAX($C30,$G30,$K30)</f>
        <v>0</v>
      </c>
      <c r="V30" s="1">
        <f>MAX($E30,$I30,$M30)</f>
        <v>0</v>
      </c>
    </row>
    <row r="31" spans="1:22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/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/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 cm="1">
        <f t="array" ref="K31">_xlfn.SWITCH($A$2,"average", AVERAGE(Instances!K31:Instances!K31),"median", MEDIAN(Instances!K31:Instances!K31),"min", MIN(Instances!K31:Instances!K31),"max", MAX(Instances!K31:Instances!K31),"diff", MAX(Instances!K31:Instances!K31)-MIN(Instances!K31:Instances!K31))</f>
        <v>0</v>
      </c>
      <c r="L31" s="1"/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>
        <f>MIN($B31,$F31,$J31)</f>
        <v>0</v>
      </c>
      <c r="O31" s="1">
        <f>MIN($C31,$G31,$K31)</f>
        <v>0</v>
      </c>
      <c r="P31" s="1">
        <f>MIN($E31,$I31,$M31)</f>
        <v>0</v>
      </c>
      <c r="Q31" s="1">
        <f>MEDIAN($B31,$F31,$J31)</f>
        <v>0</v>
      </c>
      <c r="R31" s="1">
        <f>MEDIAN($C31,$G31,$K31)</f>
        <v>0</v>
      </c>
      <c r="S31" s="1">
        <f>MEDIAN($E31,$I31,$M31)</f>
        <v>0</v>
      </c>
      <c r="T31" s="1">
        <f>MAX($B31,$F31,$J31)</f>
        <v>0</v>
      </c>
      <c r="U31" s="1">
        <f>MAX($C31,$G31,$K31)</f>
        <v>0</v>
      </c>
      <c r="V31" s="1">
        <f>MAX($E31,$I31,$M31)</f>
        <v>0</v>
      </c>
    </row>
    <row r="32" spans="1:22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/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/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/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>
        <f>MIN($B32,$F32,$J32)</f>
        <v>0</v>
      </c>
      <c r="O32" s="1">
        <f>MIN($C32,$G32,$K32)</f>
        <v>0</v>
      </c>
      <c r="P32" s="1">
        <f>MIN($E32,$I32,$M32)</f>
        <v>0</v>
      </c>
      <c r="Q32" s="1">
        <f>MEDIAN($B32,$F32,$J32)</f>
        <v>0</v>
      </c>
      <c r="R32" s="1">
        <f>MEDIAN($C32,$G32,$K32)</f>
        <v>0</v>
      </c>
      <c r="S32" s="1">
        <f>MEDIAN($E32,$I32,$M32)</f>
        <v>0</v>
      </c>
      <c r="T32" s="1">
        <f>MAX($B32,$F32,$J32)</f>
        <v>0</v>
      </c>
      <c r="U32" s="1">
        <f>MAX($C32,$G32,$K32)</f>
        <v>0</v>
      </c>
      <c r="V32" s="1">
        <f>MAX($E32,$I32,$M32)</f>
        <v>0</v>
      </c>
    </row>
    <row r="33" spans="1:22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/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/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 cm="1">
        <f t="array" ref="K33">_xlfn.SWITCH($A$2,"average", AVERAGE(Instances!K33:Instances!K33),"median", MEDIAN(Instances!K33:Instances!K33),"min", MIN(Instances!K33:Instances!K33),"max", MAX(Instances!K33:Instances!K33),"diff", MAX(Instances!K33:Instances!K33)-MIN(Instances!K33:Instances!K33))</f>
        <v>0</v>
      </c>
      <c r="L33" s="1"/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>
        <f>MIN($B33,$F33,$J33)</f>
        <v>0</v>
      </c>
      <c r="O33" s="1">
        <f>MIN($C33,$G33,$K33)</f>
        <v>0</v>
      </c>
      <c r="P33" s="1">
        <f>MIN($E33,$I33,$M33)</f>
        <v>0</v>
      </c>
      <c r="Q33" s="1">
        <f>MEDIAN($B33,$F33,$J33)</f>
        <v>0</v>
      </c>
      <c r="R33" s="1">
        <f>MEDIAN($C33,$G33,$K33)</f>
        <v>0</v>
      </c>
      <c r="S33" s="1">
        <f>MEDIAN($E33,$I33,$M33)</f>
        <v>0</v>
      </c>
      <c r="T33" s="1">
        <f>MAX($B33,$F33,$J33)</f>
        <v>0</v>
      </c>
      <c r="U33" s="1">
        <f>MAX($C33,$G33,$K33)</f>
        <v>0</v>
      </c>
      <c r="V33" s="1">
        <f>MAX($E33,$I33,$M33)</f>
        <v>0</v>
      </c>
    </row>
    <row r="34" spans="1:22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/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/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 cm="1">
        <f t="array" ref="K34">_xlfn.SWITCH($A$2,"average", AVERAGE(Instances!K34:Instances!K34),"median", MEDIAN(Instances!K34:Instances!K34),"min", MIN(Instances!K34:Instances!K34),"max", MAX(Instances!K34:Instances!K34),"diff", MAX(Instances!K34:Instances!K34)-MIN(Instances!K34:Instances!K34))</f>
        <v>0</v>
      </c>
      <c r="L34" s="1"/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>
        <f>MIN($B34,$F34,$J34)</f>
        <v>0</v>
      </c>
      <c r="O34" s="1">
        <f>MIN($C34,$G34,$K34)</f>
        <v>0</v>
      </c>
      <c r="P34" s="1">
        <f>MIN($E34,$I34,$M34)</f>
        <v>0</v>
      </c>
      <c r="Q34" s="1">
        <f>MEDIAN($B34,$F34,$J34)</f>
        <v>0</v>
      </c>
      <c r="R34" s="1">
        <f>MEDIAN($C34,$G34,$K34)</f>
        <v>0</v>
      </c>
      <c r="S34" s="1">
        <f>MEDIAN($E34,$I34,$M34)</f>
        <v>0</v>
      </c>
      <c r="T34" s="1">
        <f>MAX($B34,$F34,$J34)</f>
        <v>0</v>
      </c>
      <c r="U34" s="1">
        <f>MAX($C34,$G34,$K34)</f>
        <v>0</v>
      </c>
      <c r="V34" s="1">
        <f>MAX($E34,$I34,$M34)</f>
        <v>0</v>
      </c>
    </row>
    <row r="35" spans="1:22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/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/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 cm="1">
        <f t="array" ref="K35">_xlfn.SWITCH($A$2,"average", AVERAGE(Instances!K35:Instances!K35),"median", MEDIAN(Instances!K35:Instances!K35),"min", MIN(Instances!K35:Instances!K35),"max", MAX(Instances!K35:Instances!K35),"diff", MAX(Instances!K35:Instances!K35)-MIN(Instances!K35:Instances!K35))</f>
        <v>0</v>
      </c>
      <c r="L35" s="1"/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>
        <f>MIN($B35,$F35,$J35)</f>
        <v>0</v>
      </c>
      <c r="O35" s="1">
        <f>MIN($C35,$G35,$K35)</f>
        <v>0</v>
      </c>
      <c r="P35" s="1">
        <f>MIN($E35,$I35,$M35)</f>
        <v>0</v>
      </c>
      <c r="Q35" s="1">
        <f>MEDIAN($B35,$F35,$J35)</f>
        <v>0</v>
      </c>
      <c r="R35" s="1">
        <f>MEDIAN($C35,$G35,$K35)</f>
        <v>0</v>
      </c>
      <c r="S35" s="1">
        <f>MEDIAN($E35,$I35,$M35)</f>
        <v>0</v>
      </c>
      <c r="T35" s="1">
        <f>MAX($B35,$F35,$J35)</f>
        <v>0</v>
      </c>
      <c r="U35" s="1">
        <f>MAX($C35,$G35,$K35)</f>
        <v>0</v>
      </c>
      <c r="V35" s="1">
        <f>MAX($E35,$I35,$M35)</f>
        <v>0</v>
      </c>
    </row>
    <row r="36" spans="1:22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/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/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 cm="1">
        <f t="array" ref="K36">_xlfn.SWITCH($A$2,"average", AVERAGE(Instances!K36:Instances!K36),"median", MEDIAN(Instances!K36:Instances!K36),"min", MIN(Instances!K36:Instances!K36),"max", MAX(Instances!K36:Instances!K36),"diff", MAX(Instances!K36:Instances!K36)-MIN(Instances!K36:Instances!K36))</f>
        <v>0</v>
      </c>
      <c r="L36" s="1"/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>
        <f>MIN($B36,$F36,$J36)</f>
        <v>0</v>
      </c>
      <c r="O36" s="1">
        <f>MIN($C36,$G36,$K36)</f>
        <v>0</v>
      </c>
      <c r="P36" s="1">
        <f>MIN($E36,$I36,$M36)</f>
        <v>0</v>
      </c>
      <c r="Q36" s="1">
        <f>MEDIAN($B36,$F36,$J36)</f>
        <v>0</v>
      </c>
      <c r="R36" s="1">
        <f>MEDIAN($C36,$G36,$K36)</f>
        <v>0</v>
      </c>
      <c r="S36" s="1">
        <f>MEDIAN($E36,$I36,$M36)</f>
        <v>0</v>
      </c>
      <c r="T36" s="1">
        <f>MAX($B36,$F36,$J36)</f>
        <v>0</v>
      </c>
      <c r="U36" s="1">
        <f>MAX($C36,$G36,$K36)</f>
        <v>0</v>
      </c>
      <c r="V36" s="1">
        <f>MAX($E36,$I36,$M36)</f>
        <v>0</v>
      </c>
    </row>
    <row r="37" spans="1:22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/>
      <c r="D37" s="1"/>
      <c r="E37" s="1"/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/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 cm="1">
        <f t="array" ref="K37">_xlfn.SWITCH($A$2,"average", AVERAGE(Instances!K37:Instances!K37),"median", MEDIAN(Instances!K37:Instances!K37),"min", MIN(Instances!K37:Instances!K37),"max", MAX(Instances!K37:Instances!K37),"diff", MAX(Instances!K37:Instances!K37)-MIN(Instances!K37:Instances!K37))</f>
        <v>0</v>
      </c>
      <c r="L37" s="1"/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>
        <f>MIN($B37,$F37,$J37)</f>
        <v>0</v>
      </c>
      <c r="O37" s="1">
        <f>MIN($C37,$G37,$K37)</f>
        <v>0</v>
      </c>
      <c r="P37" s="1">
        <f>MIN($E37,$I37,$M37)</f>
        <v>0</v>
      </c>
      <c r="Q37" s="1">
        <f>MEDIAN($B37,$F37,$J37)</f>
        <v>0</v>
      </c>
      <c r="R37" s="1">
        <f>MEDIAN($C37,$G37,$K37)</f>
        <v>0</v>
      </c>
      <c r="S37" s="1">
        <f>MEDIAN($E37,$I37,$M37)</f>
        <v>0</v>
      </c>
      <c r="T37" s="1">
        <f>MAX($B37,$F37,$J37)</f>
        <v>0</v>
      </c>
      <c r="U37" s="1">
        <f>MAX($C37,$G37,$K37)</f>
        <v>0</v>
      </c>
      <c r="V37" s="1">
        <f>MAX($E37,$I37,$M37)</f>
        <v>0</v>
      </c>
    </row>
    <row r="38" spans="1:22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/>
      <c r="D38" s="1"/>
      <c r="E38" s="1"/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/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 cm="1">
        <f t="array" ref="K38">_xlfn.SWITCH($A$2,"average", AVERAGE(Instances!K38:Instances!K38),"median", MEDIAN(Instances!K38:Instances!K38),"min", MIN(Instances!K38:Instances!K38),"max", MAX(Instances!K38:Instances!K38),"diff", MAX(Instances!K38:Instances!K38)-MIN(Instances!K38:Instances!K38))</f>
        <v>0</v>
      </c>
      <c r="L38" s="1"/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>
        <f>MIN($B38,$F38,$J38)</f>
        <v>0</v>
      </c>
      <c r="O38" s="1">
        <f>MIN($C38,$G38,$K38)</f>
        <v>0</v>
      </c>
      <c r="P38" s="1">
        <f>MIN($E38,$I38,$M38)</f>
        <v>0</v>
      </c>
      <c r="Q38" s="1">
        <f>MEDIAN($B38,$F38,$J38)</f>
        <v>0</v>
      </c>
      <c r="R38" s="1">
        <f>MEDIAN($C38,$G38,$K38)</f>
        <v>0</v>
      </c>
      <c r="S38" s="1">
        <f>MEDIAN($E38,$I38,$M38)</f>
        <v>0</v>
      </c>
      <c r="T38" s="1">
        <f>MAX($B38,$F38,$J38)</f>
        <v>0</v>
      </c>
      <c r="U38" s="1">
        <f>MAX($C38,$G38,$K38)</f>
        <v>0</v>
      </c>
      <c r="V38" s="1">
        <f>MAX($E38,$I38,$M38)</f>
        <v>0</v>
      </c>
    </row>
    <row r="39" spans="1:22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/>
      <c r="D39" s="1"/>
      <c r="E39" s="1"/>
      <c r="F39" s="1" cm="1">
        <f t="array" ref="F39">_xlfn.SWITCH($A$2,"average", AVERAGE(Instances!F39:Instances!F39),"median", MEDIAN(Instances!F39:Instances!F39),"min", MIN(Instances!F39:Instances!F39),"max", MAX(Instances!F39:Instances!F39),"diff", MAX(Instances!F39:Instances!F39)-MIN(Instances!F39:Instances!F39))</f>
        <v>0</v>
      </c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/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 cm="1">
        <f t="array" ref="J39">_xlfn.SWITCH($A$2,"average", AVERAGE(Instances!J39:Instances!J39),"median", MEDIAN(Instances!J39:Instances!J39),"min", MIN(Instances!J39:Instances!J39),"max", MAX(Instances!J39:Instances!J39),"diff", MAX(Instances!J39:Instances!J39)-MIN(Instances!J39:Instances!J39))</f>
        <v>0</v>
      </c>
      <c r="K39" s="1" cm="1">
        <f t="array" ref="K39">_xlfn.SWITCH($A$2,"average", AVERAGE(Instances!K39:Instances!K39),"median", MEDIAN(Instances!K39:Instances!K39),"min", MIN(Instances!K39:Instances!K39),"max", MAX(Instances!K39:Instances!K39),"diff", MAX(Instances!K39:Instances!K39)-MIN(Instances!K39:Instances!K39))</f>
        <v>0</v>
      </c>
      <c r="L39" s="1"/>
      <c r="M39" s="1" cm="1">
        <f t="array" ref="M39">_xlfn.SWITCH($A$2,"average", AVERAGE(Instances!M39:Instances!M39),"median", MEDIAN(Instances!M39:Instances!M39),"min", MIN(Instances!M39:Instances!M39),"max", MAX(Instances!M39:Instances!M39),"diff", MAX(Instances!M39:Instances!M39)-MIN(Instances!M39:Instances!M39))</f>
        <v>0</v>
      </c>
      <c r="N39" s="1">
        <f>MIN($B39,$F39,$J39)</f>
        <v>0</v>
      </c>
      <c r="O39" s="1">
        <f>MIN($C39,$G39,$K39)</f>
        <v>0</v>
      </c>
      <c r="P39" s="1">
        <f>MIN($E39,$I39,$M39)</f>
        <v>0</v>
      </c>
      <c r="Q39" s="1">
        <f>MEDIAN($B39,$F39,$J39)</f>
        <v>0</v>
      </c>
      <c r="R39" s="1">
        <f>MEDIAN($C39,$G39,$K39)</f>
        <v>0</v>
      </c>
      <c r="S39" s="1">
        <f>MEDIAN($E39,$I39,$M39)</f>
        <v>0</v>
      </c>
      <c r="T39" s="1">
        <f>MAX($B39,$F39,$J39)</f>
        <v>0</v>
      </c>
      <c r="U39" s="1">
        <f>MAX($C39,$G39,$K39)</f>
        <v>0</v>
      </c>
      <c r="V39" s="1">
        <f>MAX($E39,$I39,$M39)</f>
        <v>0</v>
      </c>
    </row>
    <row r="40" spans="1:22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/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 cm="1">
        <f t="array" ref="F40">_xlfn.SWITCH($A$2,"average", AVERAGE(Instances!F40:Instances!F40),"median", MEDIAN(Instances!F40:Instances!F40),"min", MIN(Instances!F40:Instances!F40),"max", MAX(Instances!F40:Instances!F40),"diff", MAX(Instances!F40:Instances!F40)-MIN(Instances!F40:Instances!F40))</f>
        <v>0</v>
      </c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/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 cm="1">
        <f t="array" ref="J40">_xlfn.SWITCH($A$2,"average", AVERAGE(Instances!J40:Instances!J40),"median", MEDIAN(Instances!J40:Instances!J40),"min", MIN(Instances!J40:Instances!J40),"max", MAX(Instances!J40:Instances!J40),"diff", MAX(Instances!J40:Instances!J40)-MIN(Instances!J40:Instances!J40))</f>
        <v>0</v>
      </c>
      <c r="K40" s="1" cm="1">
        <f t="array" ref="K40">_xlfn.SWITCH($A$2,"average", AVERAGE(Instances!K40:Instances!K40),"median", MEDIAN(Instances!K40:Instances!K40),"min", MIN(Instances!K40:Instances!K40),"max", MAX(Instances!K40:Instances!K40),"diff", MAX(Instances!K40:Instances!K40)-MIN(Instances!K40:Instances!K40))</f>
        <v>0</v>
      </c>
      <c r="L40" s="1"/>
      <c r="M40" s="1" cm="1">
        <f t="array" ref="M40">_xlfn.SWITCH($A$2,"average", AVERAGE(Instances!M40:Instances!M40),"median", MEDIAN(Instances!M40:Instances!M40),"min", MIN(Instances!M40:Instances!M40),"max", MAX(Instances!M40:Instances!M40),"diff", MAX(Instances!M40:Instances!M40)-MIN(Instances!M40:Instances!M40))</f>
        <v>0</v>
      </c>
      <c r="N40" s="1">
        <f>MIN($B40,$F40,$J40)</f>
        <v>0</v>
      </c>
      <c r="O40" s="1">
        <f>MIN($C40,$G40,$K40)</f>
        <v>0</v>
      </c>
      <c r="P40" s="1">
        <f>MIN($E40,$I40,$M40)</f>
        <v>0</v>
      </c>
      <c r="Q40" s="1">
        <f>MEDIAN($B40,$F40,$J40)</f>
        <v>0</v>
      </c>
      <c r="R40" s="1">
        <f>MEDIAN($C40,$G40,$K40)</f>
        <v>0</v>
      </c>
      <c r="S40" s="1">
        <f>MEDIAN($E40,$I40,$M40)</f>
        <v>0</v>
      </c>
      <c r="T40" s="1">
        <f>MAX($B40,$F40,$J40)</f>
        <v>0</v>
      </c>
      <c r="U40" s="1">
        <f>MAX($C40,$G40,$K40)</f>
        <v>0</v>
      </c>
      <c r="V40" s="1">
        <f>MAX($E40,$I40,$M40)</f>
        <v>0</v>
      </c>
    </row>
    <row r="41" spans="1:22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/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 cm="1">
        <f t="array" ref="F41">_xlfn.SWITCH($A$2,"average", AVERAGE(Instances!F41:Instances!F41),"median", MEDIAN(Instances!F41:Instances!F41),"min", MIN(Instances!F41:Instances!F41),"max", MAX(Instances!F41:Instances!F41),"diff", MAX(Instances!F41:Instances!F41)-MIN(Instances!F41:Instances!F41))</f>
        <v>0</v>
      </c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/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 cm="1">
        <f t="array" ref="J41">_xlfn.SWITCH($A$2,"average", AVERAGE(Instances!J41:Instances!J41),"median", MEDIAN(Instances!J41:Instances!J41),"min", MIN(Instances!J41:Instances!J41),"max", MAX(Instances!J41:Instances!J41),"diff", MAX(Instances!J41:Instances!J41)-MIN(Instances!J41:Instances!J41))</f>
        <v>0</v>
      </c>
      <c r="K41" s="1" cm="1">
        <f t="array" ref="K41">_xlfn.SWITCH($A$2,"average", AVERAGE(Instances!K41:Instances!K41),"median", MEDIAN(Instances!K41:Instances!K41),"min", MIN(Instances!K41:Instances!K41),"max", MAX(Instances!K41:Instances!K41),"diff", MAX(Instances!K41:Instances!K41)-MIN(Instances!K41:Instances!K41))</f>
        <v>0</v>
      </c>
      <c r="L41" s="1"/>
      <c r="M41" s="1" cm="1">
        <f t="array" ref="M41">_xlfn.SWITCH($A$2,"average", AVERAGE(Instances!M41:Instances!M41),"median", MEDIAN(Instances!M41:Instances!M41),"min", MIN(Instances!M41:Instances!M41),"max", MAX(Instances!M41:Instances!M41),"diff", MAX(Instances!M41:Instances!M41)-MIN(Instances!M41:Instances!M41))</f>
        <v>0</v>
      </c>
      <c r="N41" s="1">
        <f>MIN($B41,$F41,$J41)</f>
        <v>0</v>
      </c>
      <c r="O41" s="1">
        <f>MIN($C41,$G41,$K41)</f>
        <v>0</v>
      </c>
      <c r="P41" s="1">
        <f>MIN($E41,$I41,$M41)</f>
        <v>0</v>
      </c>
      <c r="Q41" s="1">
        <f>MEDIAN($B41,$F41,$J41)</f>
        <v>0</v>
      </c>
      <c r="R41" s="1">
        <f>MEDIAN($C41,$G41,$K41)</f>
        <v>0</v>
      </c>
      <c r="S41" s="1">
        <f>MEDIAN($E41,$I41,$M41)</f>
        <v>0</v>
      </c>
      <c r="T41" s="1">
        <f>MAX($B41,$F41,$J41)</f>
        <v>0</v>
      </c>
      <c r="U41" s="1">
        <f>MAX($C41,$G41,$K41)</f>
        <v>0</v>
      </c>
      <c r="V41" s="1">
        <f>MAX($E41,$I41,$M41)</f>
        <v>0</v>
      </c>
    </row>
    <row r="42" spans="1:22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/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 cm="1">
        <f t="array" ref="F42">_xlfn.SWITCH($A$2,"average", AVERAGE(Instances!F42:Instances!F42),"median", MEDIAN(Instances!F42:Instances!F42),"min", MIN(Instances!F42:Instances!F42),"max", MAX(Instances!F42:Instances!F42),"diff", MAX(Instances!F42:Instances!F42)-MIN(Instances!F42:Instances!F42))</f>
        <v>0</v>
      </c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/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 cm="1">
        <f t="array" ref="J42">_xlfn.SWITCH($A$2,"average", AVERAGE(Instances!J42:Instances!J42),"median", MEDIAN(Instances!J42:Instances!J42),"min", MIN(Instances!J42:Instances!J42),"max", MAX(Instances!J42:Instances!J42),"diff", MAX(Instances!J42:Instances!J42)-MIN(Instances!J42:Instances!J42))</f>
        <v>0</v>
      </c>
      <c r="K42" s="1" cm="1">
        <f t="array" ref="K42">_xlfn.SWITCH($A$2,"average", AVERAGE(Instances!K42:Instances!K42),"median", MEDIAN(Instances!K42:Instances!K42),"min", MIN(Instances!K42:Instances!K42),"max", MAX(Instances!K42:Instances!K42),"diff", MAX(Instances!K42:Instances!K42)-MIN(Instances!K42:Instances!K42))</f>
        <v>0</v>
      </c>
      <c r="L42" s="1"/>
      <c r="M42" s="1" cm="1">
        <f t="array" ref="M42">_xlfn.SWITCH($A$2,"average", AVERAGE(Instances!M42:Instances!M42),"median", MEDIAN(Instances!M42:Instances!M42),"min", MIN(Instances!M42:Instances!M42),"max", MAX(Instances!M42:Instances!M42),"diff", MAX(Instances!M42:Instances!M42)-MIN(Instances!M42:Instances!M42))</f>
        <v>0</v>
      </c>
      <c r="N42" s="1">
        <f>MIN($B42,$F42,$J42)</f>
        <v>0</v>
      </c>
      <c r="O42" s="1">
        <f>MIN($C42,$G42,$K42)</f>
        <v>0</v>
      </c>
      <c r="P42" s="1">
        <f>MIN($E42,$I42,$M42)</f>
        <v>0</v>
      </c>
      <c r="Q42" s="1">
        <f>MEDIAN($B42,$F42,$J42)</f>
        <v>0</v>
      </c>
      <c r="R42" s="1">
        <f>MEDIAN($C42,$G42,$K42)</f>
        <v>0</v>
      </c>
      <c r="S42" s="1">
        <f>MEDIAN($E42,$I42,$M42)</f>
        <v>0</v>
      </c>
      <c r="T42" s="1">
        <f>MAX($B42,$F42,$J42)</f>
        <v>0</v>
      </c>
      <c r="U42" s="1">
        <f>MAX($C42,$G42,$K42)</f>
        <v>0</v>
      </c>
      <c r="V42" s="1">
        <f>MAX($E42,$I42,$M42)</f>
        <v>0</v>
      </c>
    </row>
    <row r="43" spans="1:22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/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 cm="1">
        <f t="array" ref="F43">_xlfn.SWITCH($A$2,"average", AVERAGE(Instances!F43:Instances!F43),"median", MEDIAN(Instances!F43:Instances!F43),"min", MIN(Instances!F43:Instances!F43),"max", MAX(Instances!F43:Instances!F43),"diff", MAX(Instances!F43:Instances!F43)-MIN(Instances!F43:Instances!F43))</f>
        <v>0</v>
      </c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/>
      <c r="I43" s="1" cm="1">
        <f t="array" ref="I43">_xlfn.SWITCH($A$2,"average", AVERAGE(Instances!I43:Instances!I43),"median", MEDIAN(Instances!I43:Instances!I43),"min", MIN(Instances!I43:Instances!I43),"max", MAX(Instances!I43:Instances!I43),"diff", MAX(Instances!I43:Instances!I43)-MIN(Instances!I43:Instances!I43))</f>
        <v>0</v>
      </c>
      <c r="J43" s="1" cm="1">
        <f t="array" ref="J43">_xlfn.SWITCH($A$2,"average", AVERAGE(Instances!J43:Instances!J43),"median", MEDIAN(Instances!J43:Instances!J43),"min", MIN(Instances!J43:Instances!J43),"max", MAX(Instances!J43:Instances!J43),"diff", MAX(Instances!J43:Instances!J43)-MIN(Instances!J43:Instances!J43))</f>
        <v>0</v>
      </c>
      <c r="K43" s="1" cm="1">
        <f t="array" ref="K43">_xlfn.SWITCH($A$2,"average", AVERAGE(Instances!K43:Instances!K43),"median", MEDIAN(Instances!K43:Instances!K43),"min", MIN(Instances!K43:Instances!K43),"max", MAX(Instances!K43:Instances!K43),"diff", MAX(Instances!K43:Instances!K43)-MIN(Instances!K43:Instances!K43))</f>
        <v>0</v>
      </c>
      <c r="L43" s="1"/>
      <c r="M43" s="1" cm="1">
        <f t="array" ref="M43">_xlfn.SWITCH($A$2,"average", AVERAGE(Instances!M43:Instances!M43),"median", MEDIAN(Instances!M43:Instances!M43),"min", MIN(Instances!M43:Instances!M43),"max", MAX(Instances!M43:Instances!M43),"diff", MAX(Instances!M43:Instances!M43)-MIN(Instances!M43:Instances!M43))</f>
        <v>0</v>
      </c>
      <c r="N43" s="1">
        <f>MIN($B43,$F43,$J43)</f>
        <v>0</v>
      </c>
      <c r="O43" s="1">
        <f>MIN($C43,$G43,$K43)</f>
        <v>0</v>
      </c>
      <c r="P43" s="1">
        <f>MIN($E43,$I43,$M43)</f>
        <v>0</v>
      </c>
      <c r="Q43" s="1">
        <f>MEDIAN($B43,$F43,$J43)</f>
        <v>0</v>
      </c>
      <c r="R43" s="1">
        <f>MEDIAN($C43,$G43,$K43)</f>
        <v>0</v>
      </c>
      <c r="S43" s="1">
        <f>MEDIAN($E43,$I43,$M43)</f>
        <v>0</v>
      </c>
      <c r="T43" s="1">
        <f>MAX($B43,$F43,$J43)</f>
        <v>0</v>
      </c>
      <c r="U43" s="1">
        <f>MAX($C43,$G43,$K43)</f>
        <v>0</v>
      </c>
      <c r="V43" s="1">
        <f>MAX($E43,$I43,$M43)</f>
        <v>0</v>
      </c>
    </row>
    <row r="44" spans="1:22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/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 cm="1">
        <f t="array" ref="F44">_xlfn.SWITCH($A$2,"average", AVERAGE(Instances!F44:Instances!F44),"median", MEDIAN(Instances!F44:Instances!F44),"min", MIN(Instances!F44:Instances!F44),"max", MAX(Instances!F44:Instances!F44),"diff", MAX(Instances!F44:Instances!F44)-MIN(Instances!F44:Instances!F44))</f>
        <v>0</v>
      </c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/>
      <c r="I44" s="1" cm="1">
        <f t="array" ref="I44">_xlfn.SWITCH($A$2,"average", AVERAGE(Instances!I44:Instances!I44),"median", MEDIAN(Instances!I44:Instances!I44),"min", MIN(Instances!I44:Instances!I44),"max", MAX(Instances!I44:Instances!I44),"diff", MAX(Instances!I44:Instances!I44)-MIN(Instances!I44:Instances!I44))</f>
        <v>0</v>
      </c>
      <c r="J44" s="1" cm="1">
        <f t="array" ref="J44">_xlfn.SWITCH($A$2,"average", AVERAGE(Instances!J44:Instances!J44),"median", MEDIAN(Instances!J44:Instances!J44),"min", MIN(Instances!J44:Instances!J44),"max", MAX(Instances!J44:Instances!J44),"diff", MAX(Instances!J44:Instances!J44)-MIN(Instances!J44:Instances!J44))</f>
        <v>0</v>
      </c>
      <c r="K44" s="1" cm="1">
        <f t="array" ref="K44">_xlfn.SWITCH($A$2,"average", AVERAGE(Instances!K44:Instances!K44),"median", MEDIAN(Instances!K44:Instances!K44),"min", MIN(Instances!K44:Instances!K44),"max", MAX(Instances!K44:Instances!K44),"diff", MAX(Instances!K44:Instances!K44)-MIN(Instances!K44:Instances!K44))</f>
        <v>0</v>
      </c>
      <c r="L44" s="1"/>
      <c r="M44" s="1" cm="1">
        <f t="array" ref="M44">_xlfn.SWITCH($A$2,"average", AVERAGE(Instances!M44:Instances!M44),"median", MEDIAN(Instances!M44:Instances!M44),"min", MIN(Instances!M44:Instances!M44),"max", MAX(Instances!M44:Instances!M44),"diff", MAX(Instances!M44:Instances!M44)-MIN(Instances!M44:Instances!M44))</f>
        <v>0</v>
      </c>
      <c r="N44" s="1">
        <f>MIN($B44,$F44,$J44)</f>
        <v>0</v>
      </c>
      <c r="O44" s="1">
        <f>MIN($C44,$G44,$K44)</f>
        <v>0</v>
      </c>
      <c r="P44" s="1">
        <f>MIN($E44,$I44,$M44)</f>
        <v>0</v>
      </c>
      <c r="Q44" s="1">
        <f>MEDIAN($B44,$F44,$J44)</f>
        <v>0</v>
      </c>
      <c r="R44" s="1">
        <f>MEDIAN($C44,$G44,$K44)</f>
        <v>0</v>
      </c>
      <c r="S44" s="1">
        <f>MEDIAN($E44,$I44,$M44)</f>
        <v>0</v>
      </c>
      <c r="T44" s="1">
        <f>MAX($B44,$F44,$J44)</f>
        <v>0</v>
      </c>
      <c r="U44" s="1">
        <f>MAX($C44,$G44,$K44)</f>
        <v>0</v>
      </c>
      <c r="V44" s="1">
        <f>MAX($E44,$I44,$M44)</f>
        <v>0</v>
      </c>
    </row>
    <row r="45" spans="1:22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/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 cm="1">
        <f t="array" ref="F45">_xlfn.SWITCH($A$2,"average", AVERAGE(Instances!F45:Instances!F45),"median", MEDIAN(Instances!F45:Instances!F45),"min", MIN(Instances!F45:Instances!F45),"max", MAX(Instances!F45:Instances!F45),"diff", MAX(Instances!F45:Instances!F45)-MIN(Instances!F45:Instances!F45))</f>
        <v>0</v>
      </c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/>
      <c r="I45" s="1" cm="1">
        <f t="array" ref="I45">_xlfn.SWITCH($A$2,"average", AVERAGE(Instances!I45:Instances!I45),"median", MEDIAN(Instances!I45:Instances!I45),"min", MIN(Instances!I45:Instances!I45),"max", MAX(Instances!I45:Instances!I45),"diff", MAX(Instances!I45:Instances!I45)-MIN(Instances!I45:Instances!I45))</f>
        <v>0</v>
      </c>
      <c r="J45" s="1" cm="1">
        <f t="array" ref="J45">_xlfn.SWITCH($A$2,"average", AVERAGE(Instances!J45:Instances!J45),"median", MEDIAN(Instances!J45:Instances!J45),"min", MIN(Instances!J45:Instances!J45),"max", MAX(Instances!J45:Instances!J45),"diff", MAX(Instances!J45:Instances!J45)-MIN(Instances!J45:Instances!J45))</f>
        <v>0</v>
      </c>
      <c r="K45" s="1" cm="1">
        <f t="array" ref="K45">_xlfn.SWITCH($A$2,"average", AVERAGE(Instances!K45:Instances!K45),"median", MEDIAN(Instances!K45:Instances!K45),"min", MIN(Instances!K45:Instances!K45),"max", MAX(Instances!K45:Instances!K45),"diff", MAX(Instances!K45:Instances!K45)-MIN(Instances!K45:Instances!K45))</f>
        <v>0</v>
      </c>
      <c r="L45" s="1"/>
      <c r="M45" s="1" cm="1">
        <f t="array" ref="M45">_xlfn.SWITCH($A$2,"average", AVERAGE(Instances!M45:Instances!M45),"median", MEDIAN(Instances!M45:Instances!M45),"min", MIN(Instances!M45:Instances!M45),"max", MAX(Instances!M45:Instances!M45),"diff", MAX(Instances!M45:Instances!M45)-MIN(Instances!M45:Instances!M45))</f>
        <v>0</v>
      </c>
      <c r="N45" s="1">
        <f>MIN($B45,$F45,$J45)</f>
        <v>0</v>
      </c>
      <c r="O45" s="1">
        <f>MIN($C45,$G45,$K45)</f>
        <v>0</v>
      </c>
      <c r="P45" s="1">
        <f>MIN($E45,$I45,$M45)</f>
        <v>0</v>
      </c>
      <c r="Q45" s="1">
        <f>MEDIAN($B45,$F45,$J45)</f>
        <v>0</v>
      </c>
      <c r="R45" s="1">
        <f>MEDIAN($C45,$G45,$K45)</f>
        <v>0</v>
      </c>
      <c r="S45" s="1">
        <f>MEDIAN($E45,$I45,$M45)</f>
        <v>0</v>
      </c>
      <c r="T45" s="1">
        <f>MAX($B45,$F45,$J45)</f>
        <v>0</v>
      </c>
      <c r="U45" s="1">
        <f>MAX($C45,$G45,$K45)</f>
        <v>0</v>
      </c>
      <c r="V45" s="1">
        <f>MAX($E45,$I45,$M45)</f>
        <v>0</v>
      </c>
    </row>
    <row r="46" spans="1:22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/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 cm="1">
        <f t="array" ref="F46">_xlfn.SWITCH($A$2,"average", AVERAGE(Instances!F46:Instances!F46),"median", MEDIAN(Instances!F46:Instances!F46),"min", MIN(Instances!F46:Instances!F46),"max", MAX(Instances!F46:Instances!F46),"diff", MAX(Instances!F46:Instances!F46)-MIN(Instances!F46:Instances!F46))</f>
        <v>0</v>
      </c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/>
      <c r="I46" s="1" cm="1">
        <f t="array" ref="I46">_xlfn.SWITCH($A$2,"average", AVERAGE(Instances!I46:Instances!I46),"median", MEDIAN(Instances!I46:Instances!I46),"min", MIN(Instances!I46:Instances!I46),"max", MAX(Instances!I46:Instances!I46),"diff", MAX(Instances!I46:Instances!I46)-MIN(Instances!I46:Instances!I46))</f>
        <v>0</v>
      </c>
      <c r="J46" s="1" cm="1">
        <f t="array" ref="J46">_xlfn.SWITCH($A$2,"average", AVERAGE(Instances!J46:Instances!J46),"median", MEDIAN(Instances!J46:Instances!J46),"min", MIN(Instances!J46:Instances!J46),"max", MAX(Instances!J46:Instances!J46),"diff", MAX(Instances!J46:Instances!J46)-MIN(Instances!J46:Instances!J46))</f>
        <v>0</v>
      </c>
      <c r="K46" s="1" cm="1">
        <f t="array" ref="K46">_xlfn.SWITCH($A$2,"average", AVERAGE(Instances!K46:Instances!K46),"median", MEDIAN(Instances!K46:Instances!K46),"min", MIN(Instances!K46:Instances!K46),"max", MAX(Instances!K46:Instances!K46),"diff", MAX(Instances!K46:Instances!K46)-MIN(Instances!K46:Instances!K46))</f>
        <v>0</v>
      </c>
      <c r="L46" s="1"/>
      <c r="M46" s="1" cm="1">
        <f t="array" ref="M46">_xlfn.SWITCH($A$2,"average", AVERAGE(Instances!M46:Instances!M46),"median", MEDIAN(Instances!M46:Instances!M46),"min", MIN(Instances!M46:Instances!M46),"max", MAX(Instances!M46:Instances!M46),"diff", MAX(Instances!M46:Instances!M46)-MIN(Instances!M46:Instances!M46))</f>
        <v>0</v>
      </c>
      <c r="N46" s="1">
        <f>MIN($B46,$F46,$J46)</f>
        <v>0</v>
      </c>
      <c r="O46" s="1">
        <f>MIN($C46,$G46,$K46)</f>
        <v>0</v>
      </c>
      <c r="P46" s="1">
        <f>MIN($E46,$I46,$M46)</f>
        <v>0</v>
      </c>
      <c r="Q46" s="1">
        <f>MEDIAN($B46,$F46,$J46)</f>
        <v>0</v>
      </c>
      <c r="R46" s="1">
        <f>MEDIAN($C46,$G46,$K46)</f>
        <v>0</v>
      </c>
      <c r="S46" s="1">
        <f>MEDIAN($E46,$I46,$M46)</f>
        <v>0</v>
      </c>
      <c r="T46" s="1">
        <f>MAX($B46,$F46,$J46)</f>
        <v>0</v>
      </c>
      <c r="U46" s="1">
        <f>MAX($C46,$G46,$K46)</f>
        <v>0</v>
      </c>
      <c r="V46" s="1">
        <f>MAX($E46,$I46,$M46)</f>
        <v>0</v>
      </c>
    </row>
    <row r="47" spans="1:2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>
      <c r="A48" s="1" t="s">
        <v>44</v>
      </c>
      <c r="B48" s="1">
        <f>SUM(B$3:B$46)</f>
        <v>0</v>
      </c>
      <c r="C48" s="1">
        <f>SUM(C$3:C$46)</f>
        <v>0</v>
      </c>
      <c r="D48" s="1"/>
      <c r="E48" s="1">
        <f>SUM(E$3:E$46)</f>
        <v>0</v>
      </c>
      <c r="F48" s="1">
        <f>SUM(F$3:F$46)</f>
        <v>0</v>
      </c>
      <c r="G48" s="1">
        <f>SUM(G$3:G$46)</f>
        <v>0</v>
      </c>
      <c r="H48" s="1"/>
      <c r="I48" s="1">
        <f>SUM(I$3:I$46)</f>
        <v>0</v>
      </c>
      <c r="J48" s="1">
        <f>SUM(J$3:J$46)</f>
        <v>0</v>
      </c>
      <c r="K48" s="1">
        <f>SUM(K$3:K$46)</f>
        <v>0</v>
      </c>
      <c r="L48" s="1"/>
      <c r="M48" s="1">
        <f>SUM(M$3:M$46)</f>
        <v>0</v>
      </c>
      <c r="N48" s="1">
        <f>SUM(N$3:N$46)</f>
        <v>0</v>
      </c>
      <c r="O48" s="1">
        <f>SUM(O$3:O$46)</f>
        <v>0</v>
      </c>
      <c r="P48" s="1">
        <f>SUM(P$3:P$46)</f>
        <v>0</v>
      </c>
      <c r="Q48" s="1">
        <f>SUM(Q$3:Q$46)</f>
        <v>0</v>
      </c>
      <c r="R48" s="1">
        <f>SUM(R$3:R$46)</f>
        <v>0</v>
      </c>
      <c r="S48" s="1">
        <f>SUM(S$3:S$46)</f>
        <v>0</v>
      </c>
      <c r="T48" s="1">
        <f>SUM(T$3:T$46)</f>
        <v>0</v>
      </c>
      <c r="U48" s="1">
        <f>SUM(U$3:U$46)</f>
        <v>0</v>
      </c>
      <c r="V48" s="1">
        <f>SUM(V$3:V$46)</f>
        <v>0</v>
      </c>
    </row>
    <row r="49" spans="1:22">
      <c r="A49" s="1" t="s">
        <v>45</v>
      </c>
      <c r="B49" s="1">
        <f>AVERAGE(B$3:B$46)</f>
        <v>0</v>
      </c>
      <c r="C49" s="1">
        <f>AVERAGE(C$3:C$46)</f>
        <v>0</v>
      </c>
      <c r="D49" s="1"/>
      <c r="E49" s="1">
        <f>AVERAGE(E$3:E$46)</f>
        <v>0</v>
      </c>
      <c r="F49" s="1">
        <f>AVERAGE(F$3:F$46)</f>
        <v>0</v>
      </c>
      <c r="G49" s="1">
        <f>AVERAGE(G$3:G$46)</f>
        <v>0</v>
      </c>
      <c r="H49" s="1"/>
      <c r="I49" s="1">
        <f>AVERAGE(I$3:I$46)</f>
        <v>0</v>
      </c>
      <c r="J49" s="1">
        <f>AVERAGE(J$3:J$46)</f>
        <v>0</v>
      </c>
      <c r="K49" s="1">
        <f>AVERAGE(K$3:K$46)</f>
        <v>0</v>
      </c>
      <c r="L49" s="1"/>
      <c r="M49" s="1">
        <f>AVERAGE(M$3:M$46)</f>
        <v>0</v>
      </c>
      <c r="N49" s="1">
        <f>AVERAGE(N$3:N$46)</f>
        <v>0</v>
      </c>
      <c r="O49" s="1">
        <f>AVERAGE(O$3:O$46)</f>
        <v>0</v>
      </c>
      <c r="P49" s="1">
        <f>AVERAGE(P$3:P$46)</f>
        <v>0</v>
      </c>
      <c r="Q49" s="1">
        <f>AVERAGE(Q$3:Q$46)</f>
        <v>0</v>
      </c>
      <c r="R49" s="1">
        <f>AVERAGE(R$3:R$46)</f>
        <v>0</v>
      </c>
      <c r="S49" s="1">
        <f>AVERAGE(S$3:S$46)</f>
        <v>0</v>
      </c>
      <c r="T49" s="1">
        <f>AVERAGE(T$3:T$46)</f>
        <v>0</v>
      </c>
      <c r="U49" s="1">
        <f>AVERAGE(U$3:U$46)</f>
        <v>0</v>
      </c>
      <c r="V49" s="1">
        <f>AVERAGE(V$3:V$46)</f>
        <v>0</v>
      </c>
    </row>
    <row r="50" spans="1:22">
      <c r="A50" s="1" t="s">
        <v>46</v>
      </c>
      <c r="B50" s="1">
        <f>STDEV(B$3:B$46)</f>
        <v>0</v>
      </c>
      <c r="C50" s="1">
        <f>STDEV(C$3:C$46)</f>
        <v>0</v>
      </c>
      <c r="D50" s="1"/>
      <c r="E50" s="1">
        <f>STDEV(E$3:E$46)</f>
        <v>0</v>
      </c>
      <c r="F50" s="1">
        <f>STDEV(F$3:F$46)</f>
        <v>0</v>
      </c>
      <c r="G50" s="1">
        <f>STDEV(G$3:G$46)</f>
        <v>0</v>
      </c>
      <c r="H50" s="1"/>
      <c r="I50" s="1">
        <f>STDEV(I$3:I$46)</f>
        <v>0</v>
      </c>
      <c r="J50" s="1">
        <f>STDEV(J$3:J$46)</f>
        <v>0</v>
      </c>
      <c r="K50" s="1">
        <f>STDEV(K$3:K$46)</f>
        <v>0</v>
      </c>
      <c r="L50" s="1"/>
      <c r="M50" s="1">
        <f>STDEV(M$3:M$46)</f>
        <v>0</v>
      </c>
      <c r="N50" s="1">
        <f>STDEV(N$3:N$46)</f>
        <v>0</v>
      </c>
      <c r="O50" s="1">
        <f>STDEV(O$3:O$46)</f>
        <v>0</v>
      </c>
      <c r="P50" s="1">
        <f>STDEV(P$3:P$46)</f>
        <v>0</v>
      </c>
      <c r="Q50" s="1">
        <f>STDEV(Q$3:Q$46)</f>
        <v>0</v>
      </c>
      <c r="R50" s="1">
        <f>STDEV(R$3:R$46)</f>
        <v>0</v>
      </c>
      <c r="S50" s="1">
        <f>STDEV(S$3:S$46)</f>
        <v>0</v>
      </c>
      <c r="T50" s="1">
        <f>STDEV(T$3:T$46)</f>
        <v>0</v>
      </c>
      <c r="U50" s="1">
        <f>STDEV(U$3:U$46)</f>
        <v>0</v>
      </c>
      <c r="V50" s="1">
        <f>STDEV(V$3:V$46)</f>
        <v>0</v>
      </c>
    </row>
    <row r="51" spans="1:22">
      <c r="A51" s="1" t="s">
        <v>47</v>
      </c>
      <c r="B51" s="1">
        <f>SUMPRODUCT(--(B$3:B$46-$N$3:$N$46)^2)^0.5</f>
        <v>0</v>
      </c>
      <c r="C51" s="1">
        <f>SUMPRODUCT(--(C$3:C$46-$O$3:$O$46)^2)^0.5</f>
        <v>0</v>
      </c>
      <c r="D51" s="1"/>
      <c r="E51" s="1">
        <f>SUMPRODUCT(--(E$3:E$46-$P$3:$P$46)^2)^0.5</f>
        <v>0</v>
      </c>
      <c r="F51" s="1">
        <f>SUMPRODUCT(--(F$3:F$46-$N$3:$N$46)^2)^0.5</f>
        <v>0</v>
      </c>
      <c r="G51" s="1">
        <f>SUMPRODUCT(--(G$3:G$46-$O$3:$O$46)^2)^0.5</f>
        <v>0</v>
      </c>
      <c r="H51" s="1"/>
      <c r="I51" s="1">
        <f>SUMPRODUCT(--(I$3:I$46-$P$3:$P$46)^2)^0.5</f>
        <v>0</v>
      </c>
      <c r="J51" s="1">
        <f>SUMPRODUCT(--(J$3:J$46-$N$3:$N$46)^2)^0.5</f>
        <v>0</v>
      </c>
      <c r="K51" s="1">
        <f>SUMPRODUCT(--(K$3:K$46-$O$3:$O$46)^2)^0.5</f>
        <v>0</v>
      </c>
      <c r="L51" s="1"/>
      <c r="M51" s="1">
        <f>SUMPRODUCT(--(M$3:M$46-$P$3:$P$46)^2)^0.5</f>
        <v>0</v>
      </c>
      <c r="N51" s="1"/>
      <c r="O51" s="1"/>
      <c r="P51" s="1"/>
      <c r="Q51" s="1"/>
      <c r="R51" s="1"/>
      <c r="S51" s="1"/>
      <c r="T51" s="1"/>
      <c r="U51" s="1"/>
      <c r="V51" s="1"/>
    </row>
    <row r="52" spans="1:22">
      <c r="A52" s="1" t="s">
        <v>48</v>
      </c>
      <c r="B52" s="1">
        <f>SUMPRODUCT(NOT(ISBLANK(B$3:B$46))*(B$3:B$46=$N$3:$N$46))</f>
        <v>0</v>
      </c>
      <c r="C52" s="1">
        <f>SUMPRODUCT(NOT(ISBLANK(C$3:C$46))*(C$3:C$46=$O$3:$O$46))</f>
        <v>0</v>
      </c>
      <c r="D52" s="1"/>
      <c r="E52" s="1">
        <f>SUMPRODUCT(NOT(ISBLANK(E$3:E$46))*(E$3:E$46=$P$3:$P$46))</f>
        <v>0</v>
      </c>
      <c r="F52" s="1">
        <f>SUMPRODUCT(NOT(ISBLANK(F$3:F$46))*(F$3:F$46=$N$3:$N$46))</f>
        <v>0</v>
      </c>
      <c r="G52" s="1">
        <f>SUMPRODUCT(NOT(ISBLANK(G$3:G$46))*(G$3:G$46=$O$3:$O$46))</f>
        <v>0</v>
      </c>
      <c r="H52" s="1"/>
      <c r="I52" s="1">
        <f>SUMPRODUCT(NOT(ISBLANK(I$3:I$46))*(I$3:I$46=$P$3:$P$46))</f>
        <v>0</v>
      </c>
      <c r="J52" s="1">
        <f>SUMPRODUCT(NOT(ISBLANK(J$3:J$46))*(J$3:J$46=$N$3:$N$46))</f>
        <v>0</v>
      </c>
      <c r="K52" s="1">
        <f>SUMPRODUCT(NOT(ISBLANK(K$3:K$46))*(K$3:K$46=$O$3:$O$46))</f>
        <v>0</v>
      </c>
      <c r="L52" s="1"/>
      <c r="M52" s="1">
        <f>SUMPRODUCT(NOT(ISBLANK(M$3:M$46))*(M$3:M$46=$P$3:$P$46))</f>
        <v>0</v>
      </c>
      <c r="N52" s="1"/>
      <c r="O52" s="1"/>
      <c r="P52" s="1"/>
      <c r="Q52" s="1"/>
      <c r="R52" s="1"/>
      <c r="S52" s="1"/>
      <c r="T52" s="1"/>
      <c r="U52" s="1"/>
      <c r="V52" s="1"/>
    </row>
    <row r="53" spans="1:22">
      <c r="A53" s="1" t="s">
        <v>49</v>
      </c>
      <c r="B53" s="1">
        <f>SUMPRODUCT(NOT(ISBLANK(B$3:B$46))*(B$3:B$46&lt;$Q$3:$Q$46))</f>
        <v>0</v>
      </c>
      <c r="C53" s="1">
        <f>SUMPRODUCT(NOT(ISBLANK(C$3:C$46))*(C$3:C$46&lt;$R$3:$R$46))</f>
        <v>0</v>
      </c>
      <c r="D53" s="1"/>
      <c r="E53" s="1">
        <f>SUMPRODUCT(NOT(ISBLANK(E$3:E$46))*(E$3:E$46&lt;$S$3:$S$46))</f>
        <v>0</v>
      </c>
      <c r="F53" s="1">
        <f>SUMPRODUCT(NOT(ISBLANK(F$3:F$46))*(F$3:F$46&lt;$Q$3:$Q$46))</f>
        <v>0</v>
      </c>
      <c r="G53" s="1">
        <f>SUMPRODUCT(NOT(ISBLANK(G$3:G$46))*(G$3:G$46&lt;$R$3:$R$46))</f>
        <v>0</v>
      </c>
      <c r="H53" s="1"/>
      <c r="I53" s="1">
        <f>SUMPRODUCT(NOT(ISBLANK(I$3:I$46))*(I$3:I$46&lt;$S$3:$S$46))</f>
        <v>0</v>
      </c>
      <c r="J53" s="1">
        <f>SUMPRODUCT(NOT(ISBLANK(J$3:J$46))*(J$3:J$46&lt;$Q$3:$Q$46))</f>
        <v>0</v>
      </c>
      <c r="K53" s="1">
        <f>SUMPRODUCT(NOT(ISBLANK(K$3:K$46))*(K$3:K$46&lt;$R$3:$R$46))</f>
        <v>0</v>
      </c>
      <c r="L53" s="1"/>
      <c r="M53" s="1">
        <f>SUMPRODUCT(NOT(ISBLANK(M$3:M$46))*(M$3:M$46&lt;$S$3:$S$46))</f>
        <v>0</v>
      </c>
      <c r="N53" s="1"/>
      <c r="O53" s="1"/>
      <c r="P53" s="1"/>
      <c r="Q53" s="1"/>
      <c r="R53" s="1"/>
      <c r="S53" s="1"/>
      <c r="T53" s="1"/>
      <c r="U53" s="1"/>
      <c r="V53" s="1"/>
    </row>
    <row r="54" spans="1:22">
      <c r="A54" s="1" t="s">
        <v>50</v>
      </c>
      <c r="B54" s="1">
        <f>SUMPRODUCT((NOT(ISBLANK(B$3:B$46))*(B$3:B$46&gt;$Q$3:$Q$46))+ISBLANK(B$3:B$46))</f>
        <v>0</v>
      </c>
      <c r="C54" s="1">
        <f>SUMPRODUCT((NOT(ISBLANK(C$3:C$46))*(C$3:C$46&gt;$R$3:$R$46))+ISBLANK(C$3:C$46))</f>
        <v>0</v>
      </c>
      <c r="D54" s="1"/>
      <c r="E54" s="1">
        <f>SUMPRODUCT((NOT(ISBLANK(E$3:E$46))*(E$3:E$46&gt;$S$3:$S$46))+ISBLANK(E$3:E$46))</f>
        <v>0</v>
      </c>
      <c r="F54" s="1">
        <f>SUMPRODUCT((NOT(ISBLANK(F$3:F$46))*(F$3:F$46&gt;$Q$3:$Q$46))+ISBLANK(F$3:F$46))</f>
        <v>0</v>
      </c>
      <c r="G54" s="1">
        <f>SUMPRODUCT((NOT(ISBLANK(G$3:G$46))*(G$3:G$46&gt;$R$3:$R$46))+ISBLANK(G$3:G$46))</f>
        <v>0</v>
      </c>
      <c r="H54" s="1"/>
      <c r="I54" s="1">
        <f>SUMPRODUCT((NOT(ISBLANK(I$3:I$46))*(I$3:I$46&gt;$S$3:$S$46))+ISBLANK(I$3:I$46))</f>
        <v>0</v>
      </c>
      <c r="J54" s="1">
        <f>SUMPRODUCT((NOT(ISBLANK(J$3:J$46))*(J$3:J$46&gt;$Q$3:$Q$46))+ISBLANK(J$3:J$46))</f>
        <v>0</v>
      </c>
      <c r="K54" s="1">
        <f>SUMPRODUCT((NOT(ISBLANK(K$3:K$46))*(K$3:K$46&gt;$R$3:$R$46))+ISBLANK(K$3:K$46))</f>
        <v>0</v>
      </c>
      <c r="L54" s="1"/>
      <c r="M54" s="1">
        <f>SUMPRODUCT((NOT(ISBLANK(M$3:M$46))*(M$3:M$46&gt;$S$3:$S$46))+ISBLANK(M$3:M$46))</f>
        <v>0</v>
      </c>
      <c r="N54" s="1"/>
      <c r="O54" s="1"/>
      <c r="P54" s="1"/>
      <c r="Q54" s="1"/>
      <c r="R54" s="1"/>
      <c r="S54" s="1"/>
      <c r="T54" s="1"/>
      <c r="U54" s="1"/>
      <c r="V54" s="1"/>
    </row>
    <row r="55" spans="1:22">
      <c r="A55" s="1" t="s">
        <v>51</v>
      </c>
      <c r="B55" s="1">
        <f>SUMPRODUCT((NOT(ISBLANK(B$3:B$46))*(B$3:B$46=$T$3:$T$46))+ISBLANK(B$3:B$46))</f>
        <v>0</v>
      </c>
      <c r="C55" s="1">
        <f>SUMPRODUCT((NOT(ISBLANK(C$3:C$46))*(C$3:C$46=$U$3:$U$46))+ISBLANK(C$3:C$46))</f>
        <v>0</v>
      </c>
      <c r="D55" s="1"/>
      <c r="E55" s="1">
        <f>SUMPRODUCT((NOT(ISBLANK(E$3:E$46))*(E$3:E$46=$V$3:$V$46))+ISBLANK(E$3:E$46))</f>
        <v>0</v>
      </c>
      <c r="F55" s="1">
        <f>SUMPRODUCT((NOT(ISBLANK(F$3:F$46))*(F$3:F$46=$T$3:$T$46))+ISBLANK(F$3:F$46))</f>
        <v>0</v>
      </c>
      <c r="G55" s="1">
        <f>SUMPRODUCT((NOT(ISBLANK(G$3:G$46))*(G$3:G$46=$U$3:$U$46))+ISBLANK(G$3:G$46))</f>
        <v>0</v>
      </c>
      <c r="H55" s="1"/>
      <c r="I55" s="1">
        <f>SUMPRODUCT((NOT(ISBLANK(I$3:I$46))*(I$3:I$46=$V$3:$V$46))+ISBLANK(I$3:I$46))</f>
        <v>0</v>
      </c>
      <c r="J55" s="1">
        <f>SUMPRODUCT((NOT(ISBLANK(J$3:J$46))*(J$3:J$46=$T$3:$T$46))+ISBLANK(J$3:J$46))</f>
        <v>0</v>
      </c>
      <c r="K55" s="1">
        <f>SUMPRODUCT((NOT(ISBLANK(K$3:K$46))*(K$3:K$46=$U$3:$U$46))+ISBLANK(K$3:K$46))</f>
        <v>0</v>
      </c>
      <c r="L55" s="1"/>
      <c r="M55" s="1">
        <f>SUMPRODUCT((NOT(ISBLANK(M$3:M$46))*(M$3:M$46=$V$3:$V$46))+ISBLANK(M$3:M$46))</f>
        <v>0</v>
      </c>
      <c r="N55" s="1"/>
      <c r="O55" s="1"/>
      <c r="P55" s="1"/>
      <c r="Q55" s="1"/>
      <c r="R55" s="1"/>
      <c r="S55" s="1"/>
      <c r="T55" s="1"/>
      <c r="U55" s="1"/>
      <c r="V55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22" width="11.42578125" customWidth="1"/>
  </cols>
  <sheetData>
    <row r="1" spans="1:22">
      <c r="A1" s="1"/>
      <c r="B1" s="1" t="s">
        <v>52</v>
      </c>
      <c r="C1" s="1"/>
      <c r="D1" s="1"/>
      <c r="E1" s="1"/>
      <c r="F1" s="1" t="s">
        <v>59</v>
      </c>
      <c r="G1" s="1"/>
      <c r="H1" s="1"/>
      <c r="I1" s="1"/>
      <c r="J1" s="1" t="s">
        <v>60</v>
      </c>
      <c r="K1" s="1"/>
      <c r="L1" s="1"/>
      <c r="M1" s="1"/>
      <c r="N1" s="1" t="s">
        <v>61</v>
      </c>
      <c r="O1" s="1"/>
      <c r="P1" s="1"/>
      <c r="Q1" s="1" t="s">
        <v>62</v>
      </c>
      <c r="R1" s="1"/>
      <c r="S1" s="1"/>
      <c r="T1" s="1" t="s">
        <v>63</v>
      </c>
      <c r="U1" s="1"/>
      <c r="V1" s="1"/>
    </row>
    <row r="2" spans="1:22">
      <c r="A2" s="1"/>
      <c r="B2" s="1" t="s">
        <v>53</v>
      </c>
      <c r="C2" s="1" t="s">
        <v>54</v>
      </c>
      <c r="D2" s="1" t="s">
        <v>55</v>
      </c>
      <c r="E2" s="1" t="s">
        <v>58</v>
      </c>
      <c r="F2" s="1" t="s">
        <v>53</v>
      </c>
      <c r="G2" s="1" t="s">
        <v>54</v>
      </c>
      <c r="H2" s="1" t="s">
        <v>55</v>
      </c>
      <c r="I2" s="1" t="s">
        <v>58</v>
      </c>
      <c r="J2" s="1" t="s">
        <v>53</v>
      </c>
      <c r="K2" s="1" t="s">
        <v>54</v>
      </c>
      <c r="L2" s="1" t="s">
        <v>55</v>
      </c>
      <c r="M2" s="1" t="s">
        <v>58</v>
      </c>
      <c r="N2" s="1" t="s">
        <v>53</v>
      </c>
      <c r="O2" s="1" t="s">
        <v>54</v>
      </c>
      <c r="P2" s="1" t="s">
        <v>58</v>
      </c>
      <c r="Q2" s="1" t="s">
        <v>53</v>
      </c>
      <c r="R2" s="1" t="s">
        <v>54</v>
      </c>
      <c r="S2" s="1" t="s">
        <v>58</v>
      </c>
      <c r="T2" s="1" t="s">
        <v>53</v>
      </c>
      <c r="U2" s="1" t="s">
        <v>54</v>
      </c>
      <c r="V2" s="1" t="s">
        <v>58</v>
      </c>
    </row>
    <row r="3" spans="1:22">
      <c r="A3" s="1" t="s">
        <v>65</v>
      </c>
      <c r="B3" s="1">
        <f>AVERAGE(Instances!B3:Instances!B46)</f>
        <v>0</v>
      </c>
      <c r="C3" s="1">
        <f>AVERAGE(Instances!C3:Instances!C46)</f>
        <v>0</v>
      </c>
      <c r="D3" s="1"/>
      <c r="E3" s="1">
        <f>AVERAGE(Instances!E3:Instances!E46)</f>
        <v>0</v>
      </c>
      <c r="F3" s="1">
        <f>AVERAGE(Instances!F3:Instances!F46)</f>
        <v>0</v>
      </c>
      <c r="G3" s="1">
        <f>AVERAGE(Instances!G3:Instances!G46)</f>
        <v>0</v>
      </c>
      <c r="H3" s="1"/>
      <c r="I3" s="1">
        <f>AVERAGE(Instances!I3:Instances!I46)</f>
        <v>0</v>
      </c>
      <c r="J3" s="1">
        <f>AVERAGE(Instances!J3:Instances!J46)</f>
        <v>0</v>
      </c>
      <c r="K3" s="1">
        <f>AVERAGE(Instances!K3:Instances!K46)</f>
        <v>0</v>
      </c>
      <c r="L3" s="1"/>
      <c r="M3" s="1">
        <f>AVERAGE(Instances!M3:Instances!M46)</f>
        <v>0</v>
      </c>
      <c r="N3" s="1">
        <f>MIN($B3,$F3,$J3)</f>
        <v>0</v>
      </c>
      <c r="O3" s="1">
        <f>MIN($C3,$G3,$K3)</f>
        <v>0</v>
      </c>
      <c r="P3" s="1">
        <f>MIN($E3,$I3,$M3)</f>
        <v>0</v>
      </c>
      <c r="Q3" s="1">
        <f>MEDIAN($B3,$F3,$J3)</f>
        <v>0</v>
      </c>
      <c r="R3" s="1">
        <f>MEDIAN($C3,$G3,$K3)</f>
        <v>0</v>
      </c>
      <c r="S3" s="1">
        <f>MEDIAN($E3,$I3,$M3)</f>
        <v>0</v>
      </c>
      <c r="T3" s="1">
        <f>MAX($B3,$F3,$J3)</f>
        <v>0</v>
      </c>
      <c r="U3" s="1">
        <f>MAX($C3,$G3,$K3)</f>
        <v>0</v>
      </c>
      <c r="V3" s="1">
        <f>MAX($E3,$I3,$M3)</f>
        <v>0</v>
      </c>
    </row>
    <row r="4" spans="1:2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>
      <c r="A5" s="1" t="s">
        <v>44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/>
      <c r="I5" s="1">
        <f>SUM(I$3:I$3)</f>
        <v>0</v>
      </c>
      <c r="J5" s="1">
        <f>SUM(J$3:J$3)</f>
        <v>0</v>
      </c>
      <c r="K5" s="1">
        <f>SUM(K$3:K$3)</f>
        <v>0</v>
      </c>
      <c r="L5" s="1"/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>
        <f>SUM(R$3:R$3)</f>
        <v>0</v>
      </c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</row>
    <row r="6" spans="1:22">
      <c r="A6" s="1" t="s">
        <v>45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/>
      <c r="I6" s="1">
        <f>AVERAGE(I$3:I$3)</f>
        <v>0</v>
      </c>
      <c r="J6" s="1">
        <f>AVERAGE(J$3:J$3)</f>
        <v>0</v>
      </c>
      <c r="K6" s="1">
        <f>AVERAGE(K$3:K$3)</f>
        <v>0</v>
      </c>
      <c r="L6" s="1"/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>
        <f>AVERAGE(R$3:R$3)</f>
        <v>0</v>
      </c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</row>
    <row r="7" spans="1:22">
      <c r="A7" s="1" t="s">
        <v>46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/>
      <c r="I7" s="1">
        <f>STDEV(I$3:I$3)</f>
        <v>0</v>
      </c>
      <c r="J7" s="1">
        <f>STDEV(J$3:J$3)</f>
        <v>0</v>
      </c>
      <c r="K7" s="1">
        <f>STDEV(K$3:K$3)</f>
        <v>0</v>
      </c>
      <c r="L7" s="1"/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>
        <f>STDEV(R$3:R$3)</f>
        <v>0</v>
      </c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</row>
    <row r="8" spans="1:22">
      <c r="A8" s="1" t="s">
        <v>47</v>
      </c>
      <c r="B8" s="1">
        <f>SUMPRODUCT(--(B$3:B$3-$N$3:$N$3)^2)^0.5</f>
        <v>0</v>
      </c>
      <c r="C8" s="1">
        <f>SUMPRODUCT(--(C$3:C$3-$O$3:$O$3)^2)^0.5</f>
        <v>0</v>
      </c>
      <c r="D8" s="1"/>
      <c r="E8" s="1">
        <f>SUMPRODUCT(--(E$3:E$3-$P$3:$P$3)^2)^0.5</f>
        <v>0</v>
      </c>
      <c r="F8" s="1">
        <f>SUMPRODUCT(--(F$3:F$3-$N$3:$N$3)^2)^0.5</f>
        <v>0</v>
      </c>
      <c r="G8" s="1">
        <f>SUMPRODUCT(--(G$3:G$3-$O$3:$O$3)^2)^0.5</f>
        <v>0</v>
      </c>
      <c r="H8" s="1"/>
      <c r="I8" s="1">
        <f>SUMPRODUCT(--(I$3:I$3-$P$3:$P$3)^2)^0.5</f>
        <v>0</v>
      </c>
      <c r="J8" s="1">
        <f>SUMPRODUCT(--(J$3:J$3-$N$3:$N$3)^2)^0.5</f>
        <v>0</v>
      </c>
      <c r="K8" s="1">
        <f>SUMPRODUCT(--(K$3:K$3-$O$3:$O$3)^2)^0.5</f>
        <v>0</v>
      </c>
      <c r="L8" s="1"/>
      <c r="M8" s="1">
        <f>SUMPRODUCT(--(M$3:M$3-$P$3:$P$3)^2)^0.5</f>
        <v>0</v>
      </c>
      <c r="N8" s="1"/>
      <c r="O8" s="1"/>
      <c r="P8" s="1"/>
      <c r="Q8" s="1"/>
      <c r="R8" s="1"/>
      <c r="S8" s="1"/>
      <c r="T8" s="1"/>
      <c r="U8" s="1"/>
      <c r="V8" s="1"/>
    </row>
    <row r="9" spans="1:22">
      <c r="A9" s="1" t="s">
        <v>48</v>
      </c>
      <c r="B9" s="1">
        <f>SUMPRODUCT(NOT(ISBLANK(B$3:B$3))*(B$3:B$3=$N$3:$N$3))</f>
        <v>0</v>
      </c>
      <c r="C9" s="1">
        <f>SUMPRODUCT(NOT(ISBLANK(C$3:C$3))*(C$3:C$3=$O$3:$O$3))</f>
        <v>0</v>
      </c>
      <c r="D9" s="1"/>
      <c r="E9" s="1">
        <f>SUMPRODUCT(NOT(ISBLANK(E$3:E$3))*(E$3:E$3=$P$3:$P$3))</f>
        <v>0</v>
      </c>
      <c r="F9" s="1">
        <f>SUMPRODUCT(NOT(ISBLANK(F$3:F$3))*(F$3:F$3=$N$3:$N$3))</f>
        <v>0</v>
      </c>
      <c r="G9" s="1">
        <f>SUMPRODUCT(NOT(ISBLANK(G$3:G$3))*(G$3:G$3=$O$3:$O$3))</f>
        <v>0</v>
      </c>
      <c r="H9" s="1"/>
      <c r="I9" s="1">
        <f>SUMPRODUCT(NOT(ISBLANK(I$3:I$3))*(I$3:I$3=$P$3:$P$3))</f>
        <v>0</v>
      </c>
      <c r="J9" s="1">
        <f>SUMPRODUCT(NOT(ISBLANK(J$3:J$3))*(J$3:J$3=$N$3:$N$3))</f>
        <v>0</v>
      </c>
      <c r="K9" s="1">
        <f>SUMPRODUCT(NOT(ISBLANK(K$3:K$3))*(K$3:K$3=$O$3:$O$3))</f>
        <v>0</v>
      </c>
      <c r="L9" s="1"/>
      <c r="M9" s="1">
        <f>SUMPRODUCT(NOT(ISBLANK(M$3:M$3))*(M$3:M$3=$P$3:$P$3))</f>
        <v>0</v>
      </c>
      <c r="N9" s="1"/>
      <c r="O9" s="1"/>
      <c r="P9" s="1"/>
      <c r="Q9" s="1"/>
      <c r="R9" s="1"/>
      <c r="S9" s="1"/>
      <c r="T9" s="1"/>
      <c r="U9" s="1"/>
      <c r="V9" s="1"/>
    </row>
    <row r="10" spans="1:22">
      <c r="A10" s="1" t="s">
        <v>49</v>
      </c>
      <c r="B10" s="1">
        <f>SUMPRODUCT(NOT(ISBLANK(B$3:B$3))*(B$3:B$3&lt;$Q$3:$Q$3))</f>
        <v>0</v>
      </c>
      <c r="C10" s="1">
        <f>SUMPRODUCT(NOT(ISBLANK(C$3:C$3))*(C$3:C$3&lt;$R$3:$R$3))</f>
        <v>0</v>
      </c>
      <c r="D10" s="1"/>
      <c r="E10" s="1">
        <f>SUMPRODUCT(NOT(ISBLANK(E$3:E$3))*(E$3:E$3&lt;$S$3:$S$3))</f>
        <v>0</v>
      </c>
      <c r="F10" s="1">
        <f>SUMPRODUCT(NOT(ISBLANK(F$3:F$3))*(F$3:F$3&lt;$Q$3:$Q$3))</f>
        <v>0</v>
      </c>
      <c r="G10" s="1">
        <f>SUMPRODUCT(NOT(ISBLANK(G$3:G$3))*(G$3:G$3&lt;$R$3:$R$3))</f>
        <v>0</v>
      </c>
      <c r="H10" s="1"/>
      <c r="I10" s="1">
        <f>SUMPRODUCT(NOT(ISBLANK(I$3:I$3))*(I$3:I$3&lt;$S$3:$S$3))</f>
        <v>0</v>
      </c>
      <c r="J10" s="1">
        <f>SUMPRODUCT(NOT(ISBLANK(J$3:J$3))*(J$3:J$3&lt;$Q$3:$Q$3))</f>
        <v>0</v>
      </c>
      <c r="K10" s="1">
        <f>SUMPRODUCT(NOT(ISBLANK(K$3:K$3))*(K$3:K$3&lt;$R$3:$R$3))</f>
        <v>0</v>
      </c>
      <c r="L10" s="1"/>
      <c r="M10" s="1">
        <f>SUMPRODUCT(NOT(ISBLANK(M$3:M$3))*(M$3:M$3&lt;$S$3:$S$3))</f>
        <v>0</v>
      </c>
      <c r="N10" s="1"/>
      <c r="O10" s="1"/>
      <c r="P10" s="1"/>
      <c r="Q10" s="1"/>
      <c r="R10" s="1"/>
      <c r="S10" s="1"/>
      <c r="T10" s="1"/>
      <c r="U10" s="1"/>
      <c r="V10" s="1"/>
    </row>
    <row r="11" spans="1:22">
      <c r="A11" s="1" t="s">
        <v>50</v>
      </c>
      <c r="B11" s="1">
        <f>SUMPRODUCT((NOT(ISBLANK(B$3:B$3))*(B$3:B$3&gt;$Q$3:$Q$3))+ISBLANK(B$3:B$3))</f>
        <v>0</v>
      </c>
      <c r="C11" s="1">
        <f>SUMPRODUCT((NOT(ISBLANK(C$3:C$3))*(C$3:C$3&gt;$R$3:$R$3))+ISBLANK(C$3:C$3))</f>
        <v>0</v>
      </c>
      <c r="D11" s="1"/>
      <c r="E11" s="1">
        <f>SUMPRODUCT((NOT(ISBLANK(E$3:E$3))*(E$3:E$3&gt;$S$3:$S$3))+ISBLANK(E$3:E$3))</f>
        <v>0</v>
      </c>
      <c r="F11" s="1">
        <f>SUMPRODUCT((NOT(ISBLANK(F$3:F$3))*(F$3:F$3&gt;$Q$3:$Q$3))+ISBLANK(F$3:F$3))</f>
        <v>0</v>
      </c>
      <c r="G11" s="1">
        <f>SUMPRODUCT((NOT(ISBLANK(G$3:G$3))*(G$3:G$3&gt;$R$3:$R$3))+ISBLANK(G$3:G$3))</f>
        <v>0</v>
      </c>
      <c r="H11" s="1"/>
      <c r="I11" s="1">
        <f>SUMPRODUCT((NOT(ISBLANK(I$3:I$3))*(I$3:I$3&gt;$S$3:$S$3))+ISBLANK(I$3:I$3))</f>
        <v>0</v>
      </c>
      <c r="J11" s="1">
        <f>SUMPRODUCT((NOT(ISBLANK(J$3:J$3))*(J$3:J$3&gt;$Q$3:$Q$3))+ISBLANK(J$3:J$3))</f>
        <v>0</v>
      </c>
      <c r="K11" s="1">
        <f>SUMPRODUCT((NOT(ISBLANK(K$3:K$3))*(K$3:K$3&gt;$R$3:$R$3))+ISBLANK(K$3:K$3))</f>
        <v>0</v>
      </c>
      <c r="L11" s="1"/>
      <c r="M11" s="1">
        <f>SUMPRODUCT((NOT(ISBLANK(M$3:M$3))*(M$3:M$3&gt;$S$3:$S$3))+ISBLANK(M$3:M$3))</f>
        <v>0</v>
      </c>
      <c r="N11" s="1"/>
      <c r="O11" s="1"/>
      <c r="P11" s="1"/>
      <c r="Q11" s="1"/>
      <c r="R11" s="1"/>
      <c r="S11" s="1"/>
      <c r="T11" s="1"/>
      <c r="U11" s="1"/>
      <c r="V11" s="1"/>
    </row>
    <row r="12" spans="1:22">
      <c r="A12" s="1" t="s">
        <v>51</v>
      </c>
      <c r="B12" s="1">
        <f>SUMPRODUCT((NOT(ISBLANK(B$3:B$3))*(B$3:B$3=$T$3:$T$3))+ISBLANK(B$3:B$3))</f>
        <v>0</v>
      </c>
      <c r="C12" s="1">
        <f>SUMPRODUCT((NOT(ISBLANK(C$3:C$3))*(C$3:C$3=$U$3:$U$3))+ISBLANK(C$3:C$3))</f>
        <v>0</v>
      </c>
      <c r="D12" s="1"/>
      <c r="E12" s="1">
        <f>SUMPRODUCT((NOT(ISBLANK(E$3:E$3))*(E$3:E$3=$V$3:$V$3))+ISBLANK(E$3:E$3))</f>
        <v>0</v>
      </c>
      <c r="F12" s="1">
        <f>SUMPRODUCT((NOT(ISBLANK(F$3:F$3))*(F$3:F$3=$T$3:$T$3))+ISBLANK(F$3:F$3))</f>
        <v>0</v>
      </c>
      <c r="G12" s="1">
        <f>SUMPRODUCT((NOT(ISBLANK(G$3:G$3))*(G$3:G$3=$U$3:$U$3))+ISBLANK(G$3:G$3))</f>
        <v>0</v>
      </c>
      <c r="H12" s="1"/>
      <c r="I12" s="1">
        <f>SUMPRODUCT((NOT(ISBLANK(I$3:I$3))*(I$3:I$3=$V$3:$V$3))+ISBLANK(I$3:I$3))</f>
        <v>0</v>
      </c>
      <c r="J12" s="1">
        <f>SUMPRODUCT((NOT(ISBLANK(J$3:J$3))*(J$3:J$3=$T$3:$T$3))+ISBLANK(J$3:J$3))</f>
        <v>0</v>
      </c>
      <c r="K12" s="1">
        <f>SUMPRODUCT((NOT(ISBLANK(K$3:K$3))*(K$3:K$3=$U$3:$U$3))+ISBLANK(K$3:K$3))</f>
        <v>0</v>
      </c>
      <c r="L12" s="1"/>
      <c r="M12" s="1">
        <f>SUMPRODUCT((NOT(ISBLANK(M$3:M$3))*(M$3:M$3=$V$3:$V$3))+ISBLANK(M$3:M$3))</f>
        <v>0</v>
      </c>
      <c r="N12" s="1"/>
      <c r="O12" s="1"/>
      <c r="P12" s="1"/>
      <c r="Q12" s="1"/>
      <c r="R12" s="1"/>
      <c r="S12" s="1"/>
      <c r="T12" s="1"/>
      <c r="U12" s="1"/>
      <c r="V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2026-02-12T15:39:58Z</dcterms:created>
  <dcterms:modified xsi:type="dcterms:W3CDTF">2026-02-12T15:39:58Z</dcterms:modified>
</cp:coreProperties>
</file>