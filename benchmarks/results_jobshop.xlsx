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<sst xmlns="http://schemas.openxmlformats.org/spreadsheetml/2006/main" count="290" uniqueCount="44">
  <si>
    <t>instances/ft06</t>
  </si>
  <si>
    <t>instances/ft10</t>
  </si>
  <si>
    <t>instances/ft10const10</t>
  </si>
  <si>
    <t>instances/ft10const15</t>
  </si>
  <si>
    <t>instances/ft10const2</t>
  </si>
  <si>
    <t>instances/ft10const5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</si>
  <si>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</si>
  <si>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</si>
  <si>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</si>
  <si>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</si>
  <si>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</si>
  <si>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</si>
  <si>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</si>
  <si>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</si>
  <si>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memelingo-1/lambda-large_30_mlp-tplp-htc</t>
  </si>
  <si>
    <t>time</t>
  </si>
  <si>
    <t>status</t>
  </si>
  <si>
    <t>UNKNOWN</t>
  </si>
  <si>
    <t>SATISFIABLE</t>
  </si>
  <si>
    <t>memelingo-1/lambda-large_30_mlp-tplp-htcdl</t>
  </si>
  <si>
    <t>memelingo-1/lambda-large_40_mlp-tplp-htc</t>
  </si>
  <si>
    <t>memelingo-1/lambda-large_40_mlp-tplp-htcdl</t>
  </si>
  <si>
    <t>memelingo-1/lambda-large_50_mlp-tplp-htc</t>
  </si>
  <si>
    <t>memelingo-1/lambda-large_50_mlp-tplp-htcdl</t>
  </si>
  <si>
    <t>memelingo-1/lambda-large_60_mlp-tplp-htc</t>
  </si>
  <si>
    <t>memelingo-1/lambda-large_60_mlp-tplp-htcdl</t>
  </si>
  <si>
    <t>memelingo-1/lambda-small_10_mlp-tplp-ht</t>
  </si>
  <si>
    <t>UNSATISFIABLE</t>
  </si>
  <si>
    <t>memelingo-1/lambda-small_10_mlp-tplp-htc</t>
  </si>
  <si>
    <t>memelingo-1/lambda-small_10_mlp-tplp-htcdl</t>
  </si>
  <si>
    <t>memelingo-1/lambda-small_13_mlp-tplp-ht</t>
  </si>
  <si>
    <t>memelingo-1/lambda-small_13_mlp-tplp-htc</t>
  </si>
  <si>
    <t>memelingo-1/lambda-small_13_mlp-tplp-htcdl</t>
  </si>
  <si>
    <t>memelingo-1/lambda-small_15_mlp-tplp-ht</t>
  </si>
  <si>
    <t>memelingo-1/lambda-small_15_mlp-tplp-htc</t>
  </si>
  <si>
    <t>memelingo-1/lambda-small_15_mlp-tplp-htcdl</t>
  </si>
  <si>
    <t>memelingo-1/lambda-small_20_mlp-tplp-ht</t>
  </si>
  <si>
    <t>memelingo-1/lambda-small_20_mlp-tplp-htc</t>
  </si>
  <si>
    <t>memelingo-1/lambda-small_20_mlp-tplp-htcdl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</si>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</sst>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3" width="20.28515625" customWidth="1"/>
    <col min="4" max="5" width="21.140625" customWidth="1"/>
    <col min="6" max="7" width="20.28515625" customWidth="1"/>
    <col min="8" max="9" width="21.140625" customWidth="1"/>
    <col min="10" max="11" width="20.28515625" customWidth="1"/>
    <col min="12" max="13" width="21.140625" customWidth="1"/>
    <col min="14" max="15" width="20.28515625" customWidth="1"/>
    <col min="16" max="17" width="21.140625" customWidth="1"/>
    <col min="18" max="19" width="20" customWidth="1"/>
    <col min="20" max="21" width="20.42578125" customWidth="1"/>
    <col min="22" max="23" width="21.28515625" customWidth="1"/>
    <col min="24" max="25" width="20" customWidth="1"/>
    <col min="26" max="27" width="20.42578125" customWidth="1"/>
    <col min="28" max="29" width="21.28515625" customWidth="1"/>
    <col min="30" max="31" width="20" customWidth="1"/>
    <col min="32" max="33" width="20.42578125" customWidth="1"/>
    <col min="34" max="35" width="21.28515625" customWidth="1"/>
    <col min="36" max="37" width="20" customWidth="1"/>
    <col min="38" max="39" width="20.42578125" customWidth="1"/>
    <col min="40" max="41" width="21.28515625" customWidth="1"/>
    <col min="42" max="44" width="11.42578125" customWidth="1"/>
  </cols>
  <sheetData>
    <row r="1" spans="1:44">
      <c r="A1" s="1"/>
      <c r="B1" s="1" t="s">
        <v>14</v>
      </c>
      <c r="C1" s="1"/>
      <c r="D1" s="1" t="s">
        <v>19</v>
      </c>
      <c r="E1" s="1"/>
      <c r="F1" s="1" t="s">
        <v>20</v>
      </c>
      <c r="G1" s="1"/>
      <c r="H1" s="1" t="s">
        <v>21</v>
      </c>
      <c r="I1" s="1"/>
      <c r="J1" s="1" t="s">
        <v>22</v>
      </c>
      <c r="K1" s="1"/>
      <c r="L1" s="1" t="s">
        <v>23</v>
      </c>
      <c r="M1" s="1"/>
      <c r="N1" s="1" t="s">
        <v>24</v>
      </c>
      <c r="O1" s="1"/>
      <c r="P1" s="1" t="s">
        <v>25</v>
      </c>
      <c r="Q1" s="1"/>
      <c r="R1" s="1" t="s">
        <v>26</v>
      </c>
      <c r="S1" s="1"/>
      <c r="T1" s="1" t="s">
        <v>28</v>
      </c>
      <c r="U1" s="1"/>
      <c r="V1" s="1" t="s">
        <v>29</v>
      </c>
      <c r="W1" s="1"/>
      <c r="X1" s="1" t="s">
        <v>30</v>
      </c>
      <c r="Y1" s="1"/>
      <c r="Z1" s="1" t="s">
        <v>31</v>
      </c>
      <c r="AA1" s="1"/>
      <c r="AB1" s="1" t="s">
        <v>32</v>
      </c>
      <c r="AC1" s="1"/>
      <c r="AD1" s="1" t="s">
        <v>33</v>
      </c>
      <c r="AE1" s="1"/>
      <c r="AF1" s="1" t="s">
        <v>34</v>
      </c>
      <c r="AG1" s="1"/>
      <c r="AH1" s="1" t="s">
        <v>35</v>
      </c>
      <c r="AI1" s="1"/>
      <c r="AJ1" s="1" t="s">
        <v>36</v>
      </c>
      <c r="AK1" s="1"/>
      <c r="AL1" s="1" t="s">
        <v>37</v>
      </c>
      <c r="AM1" s="1"/>
      <c r="AN1" s="1" t="s">
        <v>38</v>
      </c>
      <c r="AO1" s="1"/>
      <c r="AP1" s="1" t="s">
        <v>39</v>
      </c>
      <c r="AQ1" s="1" t="s">
        <v>40</v>
      </c>
      <c r="AR1" s="1" t="s">
        <v>41</v>
      </c>
    </row>
    <row r="2" spans="1:44">
      <c r="A2" s="1"/>
      <c r="B2" s="1" t="s">
        <v>15</v>
      </c>
      <c r="C2" s="1" t="s">
        <v>16</v>
      </c>
      <c r="D2" s="1" t="s">
        <v>15</v>
      </c>
      <c r="E2" s="1" t="s">
        <v>16</v>
      </c>
      <c r="F2" s="1" t="s">
        <v>15</v>
      </c>
      <c r="G2" s="1" t="s">
        <v>16</v>
      </c>
      <c r="H2" s="1" t="s">
        <v>15</v>
      </c>
      <c r="I2" s="1" t="s">
        <v>16</v>
      </c>
      <c r="J2" s="1" t="s">
        <v>15</v>
      </c>
      <c r="K2" s="1" t="s">
        <v>16</v>
      </c>
      <c r="L2" s="1" t="s">
        <v>15</v>
      </c>
      <c r="M2" s="1" t="s">
        <v>16</v>
      </c>
      <c r="N2" s="1" t="s">
        <v>15</v>
      </c>
      <c r="O2" s="1" t="s">
        <v>16</v>
      </c>
      <c r="P2" s="1" t="s">
        <v>15</v>
      </c>
      <c r="Q2" s="1" t="s">
        <v>16</v>
      </c>
      <c r="R2" s="1" t="s">
        <v>15</v>
      </c>
      <c r="S2" s="1" t="s">
        <v>16</v>
      </c>
      <c r="T2" s="1" t="s">
        <v>15</v>
      </c>
      <c r="U2" s="1" t="s">
        <v>16</v>
      </c>
      <c r="V2" s="1" t="s">
        <v>15</v>
      </c>
      <c r="W2" s="1" t="s">
        <v>16</v>
      </c>
      <c r="X2" s="1" t="s">
        <v>15</v>
      </c>
      <c r="Y2" s="1" t="s">
        <v>16</v>
      </c>
      <c r="Z2" s="1" t="s">
        <v>15</v>
      </c>
      <c r="AA2" s="1" t="s">
        <v>16</v>
      </c>
      <c r="AB2" s="1" t="s">
        <v>15</v>
      </c>
      <c r="AC2" s="1" t="s">
        <v>16</v>
      </c>
      <c r="AD2" s="1" t="s">
        <v>15</v>
      </c>
      <c r="AE2" s="1" t="s">
        <v>16</v>
      </c>
      <c r="AF2" s="1" t="s">
        <v>15</v>
      </c>
      <c r="AG2" s="1" t="s">
        <v>16</v>
      </c>
      <c r="AH2" s="1" t="s">
        <v>15</v>
      </c>
      <c r="AI2" s="1" t="s">
        <v>16</v>
      </c>
      <c r="AJ2" s="1" t="s">
        <v>15</v>
      </c>
      <c r="AK2" s="1" t="s">
        <v>16</v>
      </c>
      <c r="AL2" s="1" t="s">
        <v>15</v>
      </c>
      <c r="AM2" s="1" t="s">
        <v>16</v>
      </c>
      <c r="AN2" s="1" t="s">
        <v>15</v>
      </c>
      <c r="AO2" s="1" t="s">
        <v>16</v>
      </c>
      <c r="AP2" s="1" t="s">
        <v>15</v>
      </c>
      <c r="AQ2" s="1" t="s">
        <v>15</v>
      </c>
      <c r="AR2" s="1" t="s">
        <v>15</v>
      </c>
    </row>
    <row r="3" spans="1:4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v>257.94</v>
      </c>
      <c r="S3" s="1" t="s">
        <v>27</v>
      </c>
      <c r="T3" s="1">
        <v>11.32</v>
      </c>
      <c r="U3" s="1" t="s">
        <v>27</v>
      </c>
      <c r="V3" s="1">
        <v>10.99</v>
      </c>
      <c r="W3" s="1" t="s">
        <v>27</v>
      </c>
      <c r="X3" s="1">
        <v>193.76</v>
      </c>
      <c r="Y3" s="1" t="s">
        <v>18</v>
      </c>
      <c r="Z3" s="1">
        <v>14.53</v>
      </c>
      <c r="AA3" s="1" t="s">
        <v>18</v>
      </c>
      <c r="AB3" s="1">
        <v>14.59</v>
      </c>
      <c r="AC3" s="1" t="s">
        <v>18</v>
      </c>
      <c r="AD3" s="1">
        <v>220.43</v>
      </c>
      <c r="AE3" s="1" t="s">
        <v>18</v>
      </c>
      <c r="AF3" s="1">
        <v>17.3</v>
      </c>
      <c r="AG3" s="1" t="s">
        <v>18</v>
      </c>
      <c r="AH3" s="1">
        <v>21.67</v>
      </c>
      <c r="AI3" s="1" t="s">
        <v>18</v>
      </c>
      <c r="AJ3" s="1">
        <v>125.93</v>
      </c>
      <c r="AK3" s="1" t="s">
        <v>18</v>
      </c>
      <c r="AL3" s="1">
        <v>22.93</v>
      </c>
      <c r="AM3" s="1" t="s">
        <v>18</v>
      </c>
      <c r="AN3" s="1">
        <v>48.34</v>
      </c>
      <c r="AO3" s="1" t="s">
        <v>18</v>
      </c>
      <c r="AP3" s="1">
        <f>MIN($B3,$D3,$F3,$H3,$J3,$L3,$N3,$P3,$R3,$T3,$V3,$X3,$Z3,$AB3,$AD3,$AF3,$AH3,$AJ3,$AL3,$AN3)</f>
        <v>0</v>
      </c>
      <c r="AQ3" s="1">
        <f>MEDIAN($B3,$D3,$F3,$H3,$J3,$L3,$N3,$P3,$R3,$T3,$V3,$X3,$Z3,$AB3,$AD3,$AF3,$AH3,$AJ3,$AL3,$AN3)</f>
        <v>0</v>
      </c>
      <c r="AR3" s="1">
        <f>MAX($B3,$D3,$F3,$H3,$J3,$L3,$N3,$P3,$R3,$T3,$V3,$X3,$Z3,$AB3,$AD3,$AF3,$AH3,$AJ3,$AL3,$AN3)</f>
        <v>0</v>
      </c>
    </row>
    <row r="4" spans="1:44">
      <c r="A4" s="1" t="s">
        <v>1</v>
      </c>
      <c r="B4" s="1">
        <v>1200</v>
      </c>
      <c r="C4" s="1" t="s">
        <v>17</v>
      </c>
      <c r="D4" s="1">
        <v>1200</v>
      </c>
      <c r="E4" s="1" t="s">
        <v>17</v>
      </c>
      <c r="F4" s="1">
        <v>1200</v>
      </c>
      <c r="G4" s="1" t="s">
        <v>17</v>
      </c>
      <c r="H4" s="1">
        <v>1200</v>
      </c>
      <c r="I4" s="1" t="s">
        <v>17</v>
      </c>
      <c r="J4" s="1">
        <v>1200</v>
      </c>
      <c r="K4" s="1" t="s">
        <v>17</v>
      </c>
      <c r="L4" s="1">
        <v>1200</v>
      </c>
      <c r="M4" s="1" t="s">
        <v>17</v>
      </c>
      <c r="N4" s="1">
        <v>1200</v>
      </c>
      <c r="O4" s="1" t="s">
        <v>17</v>
      </c>
      <c r="P4" s="1">
        <v>1200</v>
      </c>
      <c r="Q4" s="1" t="s">
        <v>17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>
        <f>MIN($B4,$D4,$F4,$H4,$J4,$L4,$N4,$P4,$R4,$T4,$V4,$X4,$Z4,$AB4,$AD4,$AF4,$AH4,$AJ4,$AL4,$AN4)</f>
        <v>0</v>
      </c>
      <c r="AQ4" s="1">
        <f>MEDIAN($B4,$D4,$F4,$H4,$J4,$L4,$N4,$P4,$R4,$T4,$V4,$X4,$Z4,$AB4,$AD4,$AF4,$AH4,$AJ4,$AL4,$AN4)</f>
        <v>0</v>
      </c>
      <c r="AR4" s="1">
        <f>MAX($B4,$D4,$F4,$H4,$J4,$L4,$N4,$P4,$R4,$T4,$V4,$X4,$Z4,$AB4,$AD4,$AF4,$AH4,$AJ4,$AL4,$AN4)</f>
        <v>0</v>
      </c>
    </row>
    <row r="5" spans="1:44">
      <c r="A5" s="1" t="s">
        <v>2</v>
      </c>
      <c r="B5" s="1">
        <v>106.92</v>
      </c>
      <c r="C5" s="1" t="s">
        <v>18</v>
      </c>
      <c r="D5" s="1">
        <v>144.26</v>
      </c>
      <c r="E5" s="1" t="s">
        <v>18</v>
      </c>
      <c r="F5" s="1">
        <v>179.03</v>
      </c>
      <c r="G5" s="1" t="s">
        <v>18</v>
      </c>
      <c r="H5" s="1">
        <v>379.29</v>
      </c>
      <c r="I5" s="1" t="s">
        <v>18</v>
      </c>
      <c r="J5" s="1">
        <v>241.76</v>
      </c>
      <c r="K5" s="1" t="s">
        <v>18</v>
      </c>
      <c r="L5" s="1">
        <v>940.5</v>
      </c>
      <c r="M5" s="1" t="s">
        <v>18</v>
      </c>
      <c r="N5" s="1">
        <v>359.85</v>
      </c>
      <c r="O5" s="1" t="s">
        <v>18</v>
      </c>
      <c r="P5" s="1">
        <v>1200</v>
      </c>
      <c r="Q5" s="1" t="s">
        <v>17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>
        <f>MIN($B5,$D5,$F5,$H5,$J5,$L5,$N5,$P5,$R5,$T5,$V5,$X5,$Z5,$AB5,$AD5,$AF5,$AH5,$AJ5,$AL5,$AN5)</f>
        <v>0</v>
      </c>
      <c r="AQ5" s="1">
        <f>MEDIAN($B5,$D5,$F5,$H5,$J5,$L5,$N5,$P5,$R5,$T5,$V5,$X5,$Z5,$AB5,$AD5,$AF5,$AH5,$AJ5,$AL5,$AN5)</f>
        <v>0</v>
      </c>
      <c r="AR5" s="1">
        <f>MAX($B5,$D5,$F5,$H5,$J5,$L5,$N5,$P5,$R5,$T5,$V5,$X5,$Z5,$AB5,$AD5,$AF5,$AH5,$AJ5,$AL5,$AN5)</f>
        <v>0</v>
      </c>
    </row>
    <row r="6" spans="1:44">
      <c r="A6" s="1" t="s">
        <v>3</v>
      </c>
      <c r="B6" s="1">
        <v>141.84</v>
      </c>
      <c r="C6" s="1" t="s">
        <v>18</v>
      </c>
      <c r="D6" s="1">
        <v>135.48</v>
      </c>
      <c r="E6" s="1" t="s">
        <v>18</v>
      </c>
      <c r="F6" s="1">
        <v>207.23</v>
      </c>
      <c r="G6" s="1" t="s">
        <v>18</v>
      </c>
      <c r="H6" s="1">
        <v>369.71</v>
      </c>
      <c r="I6" s="1" t="s">
        <v>18</v>
      </c>
      <c r="J6" s="1">
        <v>256.22</v>
      </c>
      <c r="K6" s="1" t="s">
        <v>18</v>
      </c>
      <c r="L6" s="1">
        <v>1015.79</v>
      </c>
      <c r="M6" s="1" t="s">
        <v>18</v>
      </c>
      <c r="N6" s="1">
        <v>750.03</v>
      </c>
      <c r="O6" s="1" t="s">
        <v>18</v>
      </c>
      <c r="P6" s="1">
        <v>1200</v>
      </c>
      <c r="Q6" s="1" t="s">
        <v>17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>
        <f>MIN($B6,$D6,$F6,$H6,$J6,$L6,$N6,$P6,$R6,$T6,$V6,$X6,$Z6,$AB6,$AD6,$AF6,$AH6,$AJ6,$AL6,$AN6)</f>
        <v>0</v>
      </c>
      <c r="AQ6" s="1">
        <f>MEDIAN($B6,$D6,$F6,$H6,$J6,$L6,$N6,$P6,$R6,$T6,$V6,$X6,$Z6,$AB6,$AD6,$AF6,$AH6,$AJ6,$AL6,$AN6)</f>
        <v>0</v>
      </c>
      <c r="AR6" s="1">
        <f>MAX($B6,$D6,$F6,$H6,$J6,$L6,$N6,$P6,$R6,$T6,$V6,$X6,$Z6,$AB6,$AD6,$AF6,$AH6,$AJ6,$AL6,$AN6)</f>
        <v>0</v>
      </c>
    </row>
    <row r="7" spans="1:44">
      <c r="A7" s="1" t="s">
        <v>4</v>
      </c>
      <c r="B7" s="1">
        <v>23.29</v>
      </c>
      <c r="C7" s="1" t="s">
        <v>18</v>
      </c>
      <c r="D7" s="1">
        <v>84.84</v>
      </c>
      <c r="E7" s="1" t="s">
        <v>18</v>
      </c>
      <c r="F7" s="1">
        <v>30.95</v>
      </c>
      <c r="G7" s="1" t="s">
        <v>18</v>
      </c>
      <c r="H7" s="1">
        <v>248.32</v>
      </c>
      <c r="I7" s="1" t="s">
        <v>18</v>
      </c>
      <c r="J7" s="1">
        <v>53.8</v>
      </c>
      <c r="K7" s="1" t="s">
        <v>18</v>
      </c>
      <c r="L7" s="1">
        <v>581.0599999999999</v>
      </c>
      <c r="M7" s="1" t="s">
        <v>18</v>
      </c>
      <c r="N7" s="1">
        <v>67.23999999999999</v>
      </c>
      <c r="O7" s="1" t="s">
        <v>18</v>
      </c>
      <c r="P7" s="1">
        <v>1200</v>
      </c>
      <c r="Q7" s="1" t="s">
        <v>17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>
        <f>MIN($B7,$D7,$F7,$H7,$J7,$L7,$N7,$P7,$R7,$T7,$V7,$X7,$Z7,$AB7,$AD7,$AF7,$AH7,$AJ7,$AL7,$AN7)</f>
        <v>0</v>
      </c>
      <c r="AQ7" s="1">
        <f>MEDIAN($B7,$D7,$F7,$H7,$J7,$L7,$N7,$P7,$R7,$T7,$V7,$X7,$Z7,$AB7,$AD7,$AF7,$AH7,$AJ7,$AL7,$AN7)</f>
        <v>0</v>
      </c>
      <c r="AR7" s="1">
        <f>MAX($B7,$D7,$F7,$H7,$J7,$L7,$N7,$P7,$R7,$T7,$V7,$X7,$Z7,$AB7,$AD7,$AF7,$AH7,$AJ7,$AL7,$AN7)</f>
        <v>0</v>
      </c>
    </row>
    <row r="8" spans="1:44">
      <c r="A8" s="1" t="s">
        <v>5</v>
      </c>
      <c r="B8" s="1">
        <v>111.28</v>
      </c>
      <c r="C8" s="1" t="s">
        <v>18</v>
      </c>
      <c r="D8" s="1">
        <v>137.33</v>
      </c>
      <c r="E8" s="1" t="s">
        <v>18</v>
      </c>
      <c r="F8" s="1">
        <v>77.81999999999999</v>
      </c>
      <c r="G8" s="1" t="s">
        <v>18</v>
      </c>
      <c r="H8" s="1">
        <v>371.21</v>
      </c>
      <c r="I8" s="1" t="s">
        <v>18</v>
      </c>
      <c r="J8" s="1">
        <v>56.44</v>
      </c>
      <c r="K8" s="1" t="s">
        <v>18</v>
      </c>
      <c r="L8" s="1">
        <v>897.76</v>
      </c>
      <c r="M8" s="1" t="s">
        <v>18</v>
      </c>
      <c r="N8" s="1">
        <v>102.32</v>
      </c>
      <c r="O8" s="1" t="s">
        <v>18</v>
      </c>
      <c r="P8" s="1">
        <v>1200</v>
      </c>
      <c r="Q8" s="1" t="s">
        <v>17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>
        <f>MIN($B8,$D8,$F8,$H8,$J8,$L8,$N8,$P8,$R8,$T8,$V8,$X8,$Z8,$AB8,$AD8,$AF8,$AH8,$AJ8,$AL8,$AN8)</f>
        <v>0</v>
      </c>
      <c r="AQ8" s="1">
        <f>MEDIAN($B8,$D8,$F8,$H8,$J8,$L8,$N8,$P8,$R8,$T8,$V8,$X8,$Z8,$AB8,$AD8,$AF8,$AH8,$AJ8,$AL8,$AN8)</f>
        <v>0</v>
      </c>
      <c r="AR8" s="1">
        <f>MAX($B8,$D8,$F8,$H8,$J8,$L8,$N8,$P8,$R8,$T8,$V8,$X8,$Z8,$AB8,$AD8,$AF8,$AH8,$AJ8,$AL8,$AN8)</f>
        <v>0</v>
      </c>
    </row>
    <row r="9" spans="1:4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>
      <c r="A10" s="1" t="s">
        <v>6</v>
      </c>
      <c r="B10" s="1">
        <f>SUM(B$3:B$8)</f>
        <v>0</v>
      </c>
      <c r="C10" s="1"/>
      <c r="D10" s="1">
        <f>SUM(D$3:D$8)</f>
        <v>0</v>
      </c>
      <c r="E10" s="1"/>
      <c r="F10" s="1">
        <f>SUM(F$3:F$8)</f>
        <v>0</v>
      </c>
      <c r="G10" s="1"/>
      <c r="H10" s="1">
        <f>SUM(H$3:H$8)</f>
        <v>0</v>
      </c>
      <c r="I10" s="1"/>
      <c r="J10" s="1">
        <f>SUM(J$3:J$8)</f>
        <v>0</v>
      </c>
      <c r="K10" s="1"/>
      <c r="L10" s="1">
        <f>SUM(L$3:L$8)</f>
        <v>0</v>
      </c>
      <c r="M10" s="1"/>
      <c r="N10" s="1">
        <f>SUM(N$3:N$8)</f>
        <v>0</v>
      </c>
      <c r="O10" s="1"/>
      <c r="P10" s="1">
        <f>SUM(P$3:P$8)</f>
        <v>0</v>
      </c>
      <c r="Q10" s="1"/>
      <c r="R10" s="1">
        <f>SUM(R$3:R$8)</f>
        <v>0</v>
      </c>
      <c r="S10" s="1"/>
      <c r="T10" s="1">
        <f>SUM(T$3:T$8)</f>
        <v>0</v>
      </c>
      <c r="U10" s="1"/>
      <c r="V10" s="1">
        <f>SUM(V$3:V$8)</f>
        <v>0</v>
      </c>
      <c r="W10" s="1"/>
      <c r="X10" s="1">
        <f>SUM(X$3:X$8)</f>
        <v>0</v>
      </c>
      <c r="Y10" s="1"/>
      <c r="Z10" s="1">
        <f>SUM(Z$3:Z$8)</f>
        <v>0</v>
      </c>
      <c r="AA10" s="1"/>
      <c r="AB10" s="1">
        <f>SUM(AB$3:AB$8)</f>
        <v>0</v>
      </c>
      <c r="AC10" s="1"/>
      <c r="AD10" s="1">
        <f>SUM(AD$3:AD$8)</f>
        <v>0</v>
      </c>
      <c r="AE10" s="1"/>
      <c r="AF10" s="1">
        <f>SUM(AF$3:AF$8)</f>
        <v>0</v>
      </c>
      <c r="AG10" s="1"/>
      <c r="AH10" s="1">
        <f>SUM(AH$3:AH$8)</f>
        <v>0</v>
      </c>
      <c r="AI10" s="1"/>
      <c r="AJ10" s="1">
        <f>SUM(AJ$3:AJ$8)</f>
        <v>0</v>
      </c>
      <c r="AK10" s="1"/>
      <c r="AL10" s="1">
        <f>SUM(AL$3:AL$8)</f>
        <v>0</v>
      </c>
      <c r="AM10" s="1"/>
      <c r="AN10" s="1">
        <f>SUM(AN$3:AN$8)</f>
        <v>0</v>
      </c>
      <c r="AO10" s="1"/>
      <c r="AP10" s="1">
        <f>SUM(AP$3:AP$8)</f>
        <v>0</v>
      </c>
      <c r="AQ10" s="1">
        <f>SUM(AQ$3:AQ$8)</f>
        <v>0</v>
      </c>
      <c r="AR10" s="1">
        <f>SUM(AR$3:AR$8)</f>
        <v>0</v>
      </c>
    </row>
    <row r="11" spans="1:44">
      <c r="A11" s="1" t="s">
        <v>7</v>
      </c>
      <c r="B11" s="1">
        <f>AVERAGE(B$3:B$8)</f>
        <v>0</v>
      </c>
      <c r="C11" s="1"/>
      <c r="D11" s="1">
        <f>AVERAGE(D$3:D$8)</f>
        <v>0</v>
      </c>
      <c r="E11" s="1"/>
      <c r="F11" s="1">
        <f>AVERAGE(F$3:F$8)</f>
        <v>0</v>
      </c>
      <c r="G11" s="1"/>
      <c r="H11" s="1">
        <f>AVERAGE(H$3:H$8)</f>
        <v>0</v>
      </c>
      <c r="I11" s="1"/>
      <c r="J11" s="1">
        <f>AVERAGE(J$3:J$8)</f>
        <v>0</v>
      </c>
      <c r="K11" s="1"/>
      <c r="L11" s="1">
        <f>AVERAGE(L$3:L$8)</f>
        <v>0</v>
      </c>
      <c r="M11" s="1"/>
      <c r="N11" s="1">
        <f>AVERAGE(N$3:N$8)</f>
        <v>0</v>
      </c>
      <c r="O11" s="1"/>
      <c r="P11" s="1">
        <f>AVERAGE(P$3:P$8)</f>
        <v>0</v>
      </c>
      <c r="Q11" s="1"/>
      <c r="R11" s="1">
        <f>AVERAGE(R$3:R$8)</f>
        <v>0</v>
      </c>
      <c r="S11" s="1"/>
      <c r="T11" s="1">
        <f>AVERAGE(T$3:T$8)</f>
        <v>0</v>
      </c>
      <c r="U11" s="1"/>
      <c r="V11" s="1">
        <f>AVERAGE(V$3:V$8)</f>
        <v>0</v>
      </c>
      <c r="W11" s="1"/>
      <c r="X11" s="1">
        <f>AVERAGE(X$3:X$8)</f>
        <v>0</v>
      </c>
      <c r="Y11" s="1"/>
      <c r="Z11" s="1">
        <f>AVERAGE(Z$3:Z$8)</f>
        <v>0</v>
      </c>
      <c r="AA11" s="1"/>
      <c r="AB11" s="1">
        <f>AVERAGE(AB$3:AB$8)</f>
        <v>0</v>
      </c>
      <c r="AC11" s="1"/>
      <c r="AD11" s="1">
        <f>AVERAGE(AD$3:AD$8)</f>
        <v>0</v>
      </c>
      <c r="AE11" s="1"/>
      <c r="AF11" s="1">
        <f>AVERAGE(AF$3:AF$8)</f>
        <v>0</v>
      </c>
      <c r="AG11" s="1"/>
      <c r="AH11" s="1">
        <f>AVERAGE(AH$3:AH$8)</f>
        <v>0</v>
      </c>
      <c r="AI11" s="1"/>
      <c r="AJ11" s="1">
        <f>AVERAGE(AJ$3:AJ$8)</f>
        <v>0</v>
      </c>
      <c r="AK11" s="1"/>
      <c r="AL11" s="1">
        <f>AVERAGE(AL$3:AL$8)</f>
        <v>0</v>
      </c>
      <c r="AM11" s="1"/>
      <c r="AN11" s="1">
        <f>AVERAGE(AN$3:AN$8)</f>
        <v>0</v>
      </c>
      <c r="AO11" s="1"/>
      <c r="AP11" s="1">
        <f>AVERAGE(AP$3:AP$8)</f>
        <v>0</v>
      </c>
      <c r="AQ11" s="1">
        <f>AVERAGE(AQ$3:AQ$8)</f>
        <v>0</v>
      </c>
      <c r="AR11" s="1">
        <f>AVERAGE(AR$3:AR$8)</f>
        <v>0</v>
      </c>
    </row>
    <row r="12" spans="1:44">
      <c r="A12" s="1" t="s">
        <v>8</v>
      </c>
      <c r="B12" s="1">
        <f>STDEV(B$3:B$8)</f>
        <v>0</v>
      </c>
      <c r="C12" s="1"/>
      <c r="D12" s="1">
        <f>STDEV(D$3:D$8)</f>
        <v>0</v>
      </c>
      <c r="E12" s="1"/>
      <c r="F12" s="1">
        <f>STDEV(F$3:F$8)</f>
        <v>0</v>
      </c>
      <c r="G12" s="1"/>
      <c r="H12" s="1">
        <f>STDEV(H$3:H$8)</f>
        <v>0</v>
      </c>
      <c r="I12" s="1"/>
      <c r="J12" s="1">
        <f>STDEV(J$3:J$8)</f>
        <v>0</v>
      </c>
      <c r="K12" s="1"/>
      <c r="L12" s="1">
        <f>STDEV(L$3:L$8)</f>
        <v>0</v>
      </c>
      <c r="M12" s="1"/>
      <c r="N12" s="1">
        <f>STDEV(N$3:N$8)</f>
        <v>0</v>
      </c>
      <c r="O12" s="1"/>
      <c r="P12" s="1">
        <f>STDEV(P$3:P$8)</f>
        <v>0</v>
      </c>
      <c r="Q12" s="1"/>
      <c r="R12" s="1">
        <f>STDEV(R$3:R$8)</f>
        <v>0</v>
      </c>
      <c r="S12" s="1"/>
      <c r="T12" s="1">
        <f>STDEV(T$3:T$8)</f>
        <v>0</v>
      </c>
      <c r="U12" s="1"/>
      <c r="V12" s="1">
        <f>STDEV(V$3:V$8)</f>
        <v>0</v>
      </c>
      <c r="W12" s="1"/>
      <c r="X12" s="1">
        <f>STDEV(X$3:X$8)</f>
        <v>0</v>
      </c>
      <c r="Y12" s="1"/>
      <c r="Z12" s="1">
        <f>STDEV(Z$3:Z$8)</f>
        <v>0</v>
      </c>
      <c r="AA12" s="1"/>
      <c r="AB12" s="1">
        <f>STDEV(AB$3:AB$8)</f>
        <v>0</v>
      </c>
      <c r="AC12" s="1"/>
      <c r="AD12" s="1">
        <f>STDEV(AD$3:AD$8)</f>
        <v>0</v>
      </c>
      <c r="AE12" s="1"/>
      <c r="AF12" s="1">
        <f>STDEV(AF$3:AF$8)</f>
        <v>0</v>
      </c>
      <c r="AG12" s="1"/>
      <c r="AH12" s="1">
        <f>STDEV(AH$3:AH$8)</f>
        <v>0</v>
      </c>
      <c r="AI12" s="1"/>
      <c r="AJ12" s="1">
        <f>STDEV(AJ$3:AJ$8)</f>
        <v>0</v>
      </c>
      <c r="AK12" s="1"/>
      <c r="AL12" s="1">
        <f>STDEV(AL$3:AL$8)</f>
        <v>0</v>
      </c>
      <c r="AM12" s="1"/>
      <c r="AN12" s="1">
        <f>STDEV(AN$3:AN$8)</f>
        <v>0</v>
      </c>
      <c r="AO12" s="1"/>
      <c r="AP12" s="1">
        <f>STDEV(AP$3:AP$8)</f>
        <v>0</v>
      </c>
      <c r="AQ12" s="1">
        <f>STDEV(AQ$3:AQ$8)</f>
        <v>0</v>
      </c>
      <c r="AR12" s="1">
        <f>STDEV(AR$3:AR$8)</f>
        <v>0</v>
      </c>
    </row>
    <row r="13" spans="1:44">
      <c r="A13" s="1" t="s">
        <v>9</v>
      </c>
      <c r="B13" s="1">
        <f>SUMPRODUCT(--(B$3:B$8-$AP$3:$AP$8)^2)^0.5</f>
        <v>0</v>
      </c>
      <c r="C13" s="1"/>
      <c r="D13" s="1">
        <f>SUMPRODUCT(--(D$3:D$8-$AP$3:$AP$8)^2)^0.5</f>
        <v>0</v>
      </c>
      <c r="E13" s="1"/>
      <c r="F13" s="1">
        <f>SUMPRODUCT(--(F$3:F$8-$AP$3:$AP$8)^2)^0.5</f>
        <v>0</v>
      </c>
      <c r="G13" s="1"/>
      <c r="H13" s="1">
        <f>SUMPRODUCT(--(H$3:H$8-$AP$3:$AP$8)^2)^0.5</f>
        <v>0</v>
      </c>
      <c r="I13" s="1"/>
      <c r="J13" s="1">
        <f>SUMPRODUCT(--(J$3:J$8-$AP$3:$AP$8)^2)^0.5</f>
        <v>0</v>
      </c>
      <c r="K13" s="1"/>
      <c r="L13" s="1">
        <f>SUMPRODUCT(--(L$3:L$8-$AP$3:$AP$8)^2)^0.5</f>
        <v>0</v>
      </c>
      <c r="M13" s="1"/>
      <c r="N13" s="1">
        <f>SUMPRODUCT(--(N$3:N$8-$AP$3:$AP$8)^2)^0.5</f>
        <v>0</v>
      </c>
      <c r="O13" s="1"/>
      <c r="P13" s="1">
        <f>SUMPRODUCT(--(P$3:P$8-$AP$3:$AP$8)^2)^0.5</f>
        <v>0</v>
      </c>
      <c r="Q13" s="1"/>
      <c r="R13" s="1">
        <f>SUMPRODUCT(--(R$3:R$8-$AP$3:$AP$8)^2)^0.5</f>
        <v>0</v>
      </c>
      <c r="S13" s="1"/>
      <c r="T13" s="1">
        <f>SUMPRODUCT(--(T$3:T$8-$AP$3:$AP$8)^2)^0.5</f>
        <v>0</v>
      </c>
      <c r="U13" s="1"/>
      <c r="V13" s="1">
        <f>SUMPRODUCT(--(V$3:V$8-$AP$3:$AP$8)^2)^0.5</f>
        <v>0</v>
      </c>
      <c r="W13" s="1"/>
      <c r="X13" s="1">
        <f>SUMPRODUCT(--(X$3:X$8-$AP$3:$AP$8)^2)^0.5</f>
        <v>0</v>
      </c>
      <c r="Y13" s="1"/>
      <c r="Z13" s="1">
        <f>SUMPRODUCT(--(Z$3:Z$8-$AP$3:$AP$8)^2)^0.5</f>
        <v>0</v>
      </c>
      <c r="AA13" s="1"/>
      <c r="AB13" s="1">
        <f>SUMPRODUCT(--(AB$3:AB$8-$AP$3:$AP$8)^2)^0.5</f>
        <v>0</v>
      </c>
      <c r="AC13" s="1"/>
      <c r="AD13" s="1">
        <f>SUMPRODUCT(--(AD$3:AD$8-$AP$3:$AP$8)^2)^0.5</f>
        <v>0</v>
      </c>
      <c r="AE13" s="1"/>
      <c r="AF13" s="1">
        <f>SUMPRODUCT(--(AF$3:AF$8-$AP$3:$AP$8)^2)^0.5</f>
        <v>0</v>
      </c>
      <c r="AG13" s="1"/>
      <c r="AH13" s="1">
        <f>SUMPRODUCT(--(AH$3:AH$8-$AP$3:$AP$8)^2)^0.5</f>
        <v>0</v>
      </c>
      <c r="AI13" s="1"/>
      <c r="AJ13" s="1">
        <f>SUMPRODUCT(--(AJ$3:AJ$8-$AP$3:$AP$8)^2)^0.5</f>
        <v>0</v>
      </c>
      <c r="AK13" s="1"/>
      <c r="AL13" s="1">
        <f>SUMPRODUCT(--(AL$3:AL$8-$AP$3:$AP$8)^2)^0.5</f>
        <v>0</v>
      </c>
      <c r="AM13" s="1"/>
      <c r="AN13" s="1">
        <f>SUMPRODUCT(--(AN$3:AN$8-$AP$3:$AP$8)^2)^0.5</f>
        <v>0</v>
      </c>
      <c r="AO13" s="1"/>
      <c r="AP13" s="1"/>
      <c r="AQ13" s="1"/>
      <c r="AR13" s="1"/>
    </row>
    <row r="14" spans="1:44">
      <c r="A14" s="1" t="s">
        <v>10</v>
      </c>
      <c r="B14" s="1">
        <f>SUMPRODUCT(NOT(ISBLANK(B$3:B$8))*(B$3:B$8=$AP$3:$AP$8))</f>
        <v>0</v>
      </c>
      <c r="C14" s="1"/>
      <c r="D14" s="1">
        <f>SUMPRODUCT(NOT(ISBLANK(D$3:D$8))*(D$3:D$8=$AP$3:$AP$8))</f>
        <v>0</v>
      </c>
      <c r="E14" s="1"/>
      <c r="F14" s="1">
        <f>SUMPRODUCT(NOT(ISBLANK(F$3:F$8))*(F$3:F$8=$AP$3:$AP$8))</f>
        <v>0</v>
      </c>
      <c r="G14" s="1"/>
      <c r="H14" s="1">
        <f>SUMPRODUCT(NOT(ISBLANK(H$3:H$8))*(H$3:H$8=$AP$3:$AP$8))</f>
        <v>0</v>
      </c>
      <c r="I14" s="1"/>
      <c r="J14" s="1">
        <f>SUMPRODUCT(NOT(ISBLANK(J$3:J$8))*(J$3:J$8=$AP$3:$AP$8))</f>
        <v>0</v>
      </c>
      <c r="K14" s="1"/>
      <c r="L14" s="1">
        <f>SUMPRODUCT(NOT(ISBLANK(L$3:L$8))*(L$3:L$8=$AP$3:$AP$8))</f>
        <v>0</v>
      </c>
      <c r="M14" s="1"/>
      <c r="N14" s="1">
        <f>SUMPRODUCT(NOT(ISBLANK(N$3:N$8))*(N$3:N$8=$AP$3:$AP$8))</f>
        <v>0</v>
      </c>
      <c r="O14" s="1"/>
      <c r="P14" s="1">
        <f>SUMPRODUCT(NOT(ISBLANK(P$3:P$8))*(P$3:P$8=$AP$3:$AP$8))</f>
        <v>0</v>
      </c>
      <c r="Q14" s="1"/>
      <c r="R14" s="1">
        <f>SUMPRODUCT(NOT(ISBLANK(R$3:R$8))*(R$3:R$8=$AP$3:$AP$8))</f>
        <v>0</v>
      </c>
      <c r="S14" s="1"/>
      <c r="T14" s="1">
        <f>SUMPRODUCT(NOT(ISBLANK(T$3:T$8))*(T$3:T$8=$AP$3:$AP$8))</f>
        <v>0</v>
      </c>
      <c r="U14" s="1"/>
      <c r="V14" s="1">
        <f>SUMPRODUCT(NOT(ISBLANK(V$3:V$8))*(V$3:V$8=$AP$3:$AP$8))</f>
        <v>0</v>
      </c>
      <c r="W14" s="1"/>
      <c r="X14" s="1">
        <f>SUMPRODUCT(NOT(ISBLANK(X$3:X$8))*(X$3:X$8=$AP$3:$AP$8))</f>
        <v>0</v>
      </c>
      <c r="Y14" s="1"/>
      <c r="Z14" s="1">
        <f>SUMPRODUCT(NOT(ISBLANK(Z$3:Z$8))*(Z$3:Z$8=$AP$3:$AP$8))</f>
        <v>0</v>
      </c>
      <c r="AA14" s="1"/>
      <c r="AB14" s="1">
        <f>SUMPRODUCT(NOT(ISBLANK(AB$3:AB$8))*(AB$3:AB$8=$AP$3:$AP$8))</f>
        <v>0</v>
      </c>
      <c r="AC14" s="1"/>
      <c r="AD14" s="1">
        <f>SUMPRODUCT(NOT(ISBLANK(AD$3:AD$8))*(AD$3:AD$8=$AP$3:$AP$8))</f>
        <v>0</v>
      </c>
      <c r="AE14" s="1"/>
      <c r="AF14" s="1">
        <f>SUMPRODUCT(NOT(ISBLANK(AF$3:AF$8))*(AF$3:AF$8=$AP$3:$AP$8))</f>
        <v>0</v>
      </c>
      <c r="AG14" s="1"/>
      <c r="AH14" s="1">
        <f>SUMPRODUCT(NOT(ISBLANK(AH$3:AH$8))*(AH$3:AH$8=$AP$3:$AP$8))</f>
        <v>0</v>
      </c>
      <c r="AI14" s="1"/>
      <c r="AJ14" s="1">
        <f>SUMPRODUCT(NOT(ISBLANK(AJ$3:AJ$8))*(AJ$3:AJ$8=$AP$3:$AP$8))</f>
        <v>0</v>
      </c>
      <c r="AK14" s="1"/>
      <c r="AL14" s="1">
        <f>SUMPRODUCT(NOT(ISBLANK(AL$3:AL$8))*(AL$3:AL$8=$AP$3:$AP$8))</f>
        <v>0</v>
      </c>
      <c r="AM14" s="1"/>
      <c r="AN14" s="1">
        <f>SUMPRODUCT(NOT(ISBLANK(AN$3:AN$8))*(AN$3:AN$8=$AP$3:$AP$8))</f>
        <v>0</v>
      </c>
      <c r="AO14" s="1"/>
      <c r="AP14" s="1"/>
      <c r="AQ14" s="1"/>
      <c r="AR14" s="1"/>
    </row>
    <row r="15" spans="1:44">
      <c r="A15" s="1" t="s">
        <v>11</v>
      </c>
      <c r="B15" s="1">
        <f>SUMPRODUCT(NOT(ISBLANK(B$3:B$8))*(B$3:B$8&lt;$AQ$3:$AQ$8))</f>
        <v>0</v>
      </c>
      <c r="C15" s="1"/>
      <c r="D15" s="1">
        <f>SUMPRODUCT(NOT(ISBLANK(D$3:D$8))*(D$3:D$8&lt;$AQ$3:$AQ$8))</f>
        <v>0</v>
      </c>
      <c r="E15" s="1"/>
      <c r="F15" s="1">
        <f>SUMPRODUCT(NOT(ISBLANK(F$3:F$8))*(F$3:F$8&lt;$AQ$3:$AQ$8))</f>
        <v>0</v>
      </c>
      <c r="G15" s="1"/>
      <c r="H15" s="1">
        <f>SUMPRODUCT(NOT(ISBLANK(H$3:H$8))*(H$3:H$8&lt;$AQ$3:$AQ$8))</f>
        <v>0</v>
      </c>
      <c r="I15" s="1"/>
      <c r="J15" s="1">
        <f>SUMPRODUCT(NOT(ISBLANK(J$3:J$8))*(J$3:J$8&lt;$AQ$3:$AQ$8))</f>
        <v>0</v>
      </c>
      <c r="K15" s="1"/>
      <c r="L15" s="1">
        <f>SUMPRODUCT(NOT(ISBLANK(L$3:L$8))*(L$3:L$8&lt;$AQ$3:$AQ$8))</f>
        <v>0</v>
      </c>
      <c r="M15" s="1"/>
      <c r="N15" s="1">
        <f>SUMPRODUCT(NOT(ISBLANK(N$3:N$8))*(N$3:N$8&lt;$AQ$3:$AQ$8))</f>
        <v>0</v>
      </c>
      <c r="O15" s="1"/>
      <c r="P15" s="1">
        <f>SUMPRODUCT(NOT(ISBLANK(P$3:P$8))*(P$3:P$8&lt;$AQ$3:$AQ$8))</f>
        <v>0</v>
      </c>
      <c r="Q15" s="1"/>
      <c r="R15" s="1">
        <f>SUMPRODUCT(NOT(ISBLANK(R$3:R$8))*(R$3:R$8&lt;$AQ$3:$AQ$8))</f>
        <v>0</v>
      </c>
      <c r="S15" s="1"/>
      <c r="T15" s="1">
        <f>SUMPRODUCT(NOT(ISBLANK(T$3:T$8))*(T$3:T$8&lt;$AQ$3:$AQ$8))</f>
        <v>0</v>
      </c>
      <c r="U15" s="1"/>
      <c r="V15" s="1">
        <f>SUMPRODUCT(NOT(ISBLANK(V$3:V$8))*(V$3:V$8&lt;$AQ$3:$AQ$8))</f>
        <v>0</v>
      </c>
      <c r="W15" s="1"/>
      <c r="X15" s="1">
        <f>SUMPRODUCT(NOT(ISBLANK(X$3:X$8))*(X$3:X$8&lt;$AQ$3:$AQ$8))</f>
        <v>0</v>
      </c>
      <c r="Y15" s="1"/>
      <c r="Z15" s="1">
        <f>SUMPRODUCT(NOT(ISBLANK(Z$3:Z$8))*(Z$3:Z$8&lt;$AQ$3:$AQ$8))</f>
        <v>0</v>
      </c>
      <c r="AA15" s="1"/>
      <c r="AB15" s="1">
        <f>SUMPRODUCT(NOT(ISBLANK(AB$3:AB$8))*(AB$3:AB$8&lt;$AQ$3:$AQ$8))</f>
        <v>0</v>
      </c>
      <c r="AC15" s="1"/>
      <c r="AD15" s="1">
        <f>SUMPRODUCT(NOT(ISBLANK(AD$3:AD$8))*(AD$3:AD$8&lt;$AQ$3:$AQ$8))</f>
        <v>0</v>
      </c>
      <c r="AE15" s="1"/>
      <c r="AF15" s="1">
        <f>SUMPRODUCT(NOT(ISBLANK(AF$3:AF$8))*(AF$3:AF$8&lt;$AQ$3:$AQ$8))</f>
        <v>0</v>
      </c>
      <c r="AG15" s="1"/>
      <c r="AH15" s="1">
        <f>SUMPRODUCT(NOT(ISBLANK(AH$3:AH$8))*(AH$3:AH$8&lt;$AQ$3:$AQ$8))</f>
        <v>0</v>
      </c>
      <c r="AI15" s="1"/>
      <c r="AJ15" s="1">
        <f>SUMPRODUCT(NOT(ISBLANK(AJ$3:AJ$8))*(AJ$3:AJ$8&lt;$AQ$3:$AQ$8))</f>
        <v>0</v>
      </c>
      <c r="AK15" s="1"/>
      <c r="AL15" s="1">
        <f>SUMPRODUCT(NOT(ISBLANK(AL$3:AL$8))*(AL$3:AL$8&lt;$AQ$3:$AQ$8))</f>
        <v>0</v>
      </c>
      <c r="AM15" s="1"/>
      <c r="AN15" s="1">
        <f>SUMPRODUCT(NOT(ISBLANK(AN$3:AN$8))*(AN$3:AN$8&lt;$AQ$3:$AQ$8))</f>
        <v>0</v>
      </c>
      <c r="AO15" s="1"/>
      <c r="AP15" s="1"/>
      <c r="AQ15" s="1"/>
      <c r="AR15" s="1"/>
    </row>
    <row r="16" spans="1:44">
      <c r="A16" s="1" t="s">
        <v>12</v>
      </c>
      <c r="B16" s="1">
        <f>SUMPRODUCT((NOT(ISBLANK(B$3:B$8))*(B$3:B$8&gt;$AQ$3:$AQ$8))+ISBLANK(B$3:B$8))</f>
        <v>0</v>
      </c>
      <c r="C16" s="1"/>
      <c r="D16" s="1">
        <f>SUMPRODUCT((NOT(ISBLANK(D$3:D$8))*(D$3:D$8&gt;$AQ$3:$AQ$8))+ISBLANK(D$3:D$8))</f>
        <v>0</v>
      </c>
      <c r="E16" s="1"/>
      <c r="F16" s="1">
        <f>SUMPRODUCT((NOT(ISBLANK(F$3:F$8))*(F$3:F$8&gt;$AQ$3:$AQ$8))+ISBLANK(F$3:F$8))</f>
        <v>0</v>
      </c>
      <c r="G16" s="1"/>
      <c r="H16" s="1">
        <f>SUMPRODUCT((NOT(ISBLANK(H$3:H$8))*(H$3:H$8&gt;$AQ$3:$AQ$8))+ISBLANK(H$3:H$8))</f>
        <v>0</v>
      </c>
      <c r="I16" s="1"/>
      <c r="J16" s="1">
        <f>SUMPRODUCT((NOT(ISBLANK(J$3:J$8))*(J$3:J$8&gt;$AQ$3:$AQ$8))+ISBLANK(J$3:J$8))</f>
        <v>0</v>
      </c>
      <c r="K16" s="1"/>
      <c r="L16" s="1">
        <f>SUMPRODUCT((NOT(ISBLANK(L$3:L$8))*(L$3:L$8&gt;$AQ$3:$AQ$8))+ISBLANK(L$3:L$8))</f>
        <v>0</v>
      </c>
      <c r="M16" s="1"/>
      <c r="N16" s="1">
        <f>SUMPRODUCT((NOT(ISBLANK(N$3:N$8))*(N$3:N$8&gt;$AQ$3:$AQ$8))+ISBLANK(N$3:N$8))</f>
        <v>0</v>
      </c>
      <c r="O16" s="1"/>
      <c r="P16" s="1">
        <f>SUMPRODUCT((NOT(ISBLANK(P$3:P$8))*(P$3:P$8&gt;$AQ$3:$AQ$8))+ISBLANK(P$3:P$8))</f>
        <v>0</v>
      </c>
      <c r="Q16" s="1"/>
      <c r="R16" s="1">
        <f>SUMPRODUCT((NOT(ISBLANK(R$3:R$8))*(R$3:R$8&gt;$AQ$3:$AQ$8))+ISBLANK(R$3:R$8))</f>
        <v>0</v>
      </c>
      <c r="S16" s="1"/>
      <c r="T16" s="1">
        <f>SUMPRODUCT((NOT(ISBLANK(T$3:T$8))*(T$3:T$8&gt;$AQ$3:$AQ$8))+ISBLANK(T$3:T$8))</f>
        <v>0</v>
      </c>
      <c r="U16" s="1"/>
      <c r="V16" s="1">
        <f>SUMPRODUCT((NOT(ISBLANK(V$3:V$8))*(V$3:V$8&gt;$AQ$3:$AQ$8))+ISBLANK(V$3:V$8))</f>
        <v>0</v>
      </c>
      <c r="W16" s="1"/>
      <c r="X16" s="1">
        <f>SUMPRODUCT((NOT(ISBLANK(X$3:X$8))*(X$3:X$8&gt;$AQ$3:$AQ$8))+ISBLANK(X$3:X$8))</f>
        <v>0</v>
      </c>
      <c r="Y16" s="1"/>
      <c r="Z16" s="1">
        <f>SUMPRODUCT((NOT(ISBLANK(Z$3:Z$8))*(Z$3:Z$8&gt;$AQ$3:$AQ$8))+ISBLANK(Z$3:Z$8))</f>
        <v>0</v>
      </c>
      <c r="AA16" s="1"/>
      <c r="AB16" s="1">
        <f>SUMPRODUCT((NOT(ISBLANK(AB$3:AB$8))*(AB$3:AB$8&gt;$AQ$3:$AQ$8))+ISBLANK(AB$3:AB$8))</f>
        <v>0</v>
      </c>
      <c r="AC16" s="1"/>
      <c r="AD16" s="1">
        <f>SUMPRODUCT((NOT(ISBLANK(AD$3:AD$8))*(AD$3:AD$8&gt;$AQ$3:$AQ$8))+ISBLANK(AD$3:AD$8))</f>
        <v>0</v>
      </c>
      <c r="AE16" s="1"/>
      <c r="AF16" s="1">
        <f>SUMPRODUCT((NOT(ISBLANK(AF$3:AF$8))*(AF$3:AF$8&gt;$AQ$3:$AQ$8))+ISBLANK(AF$3:AF$8))</f>
        <v>0</v>
      </c>
      <c r="AG16" s="1"/>
      <c r="AH16" s="1">
        <f>SUMPRODUCT((NOT(ISBLANK(AH$3:AH$8))*(AH$3:AH$8&gt;$AQ$3:$AQ$8))+ISBLANK(AH$3:AH$8))</f>
        <v>0</v>
      </c>
      <c r="AI16" s="1"/>
      <c r="AJ16" s="1">
        <f>SUMPRODUCT((NOT(ISBLANK(AJ$3:AJ$8))*(AJ$3:AJ$8&gt;$AQ$3:$AQ$8))+ISBLANK(AJ$3:AJ$8))</f>
        <v>0</v>
      </c>
      <c r="AK16" s="1"/>
      <c r="AL16" s="1">
        <f>SUMPRODUCT((NOT(ISBLANK(AL$3:AL$8))*(AL$3:AL$8&gt;$AQ$3:$AQ$8))+ISBLANK(AL$3:AL$8))</f>
        <v>0</v>
      </c>
      <c r="AM16" s="1"/>
      <c r="AN16" s="1">
        <f>SUMPRODUCT((NOT(ISBLANK(AN$3:AN$8))*(AN$3:AN$8&gt;$AQ$3:$AQ$8))+ISBLANK(AN$3:AN$8))</f>
        <v>0</v>
      </c>
      <c r="AO16" s="1"/>
      <c r="AP16" s="1"/>
      <c r="AQ16" s="1"/>
      <c r="AR16" s="1"/>
    </row>
    <row r="17" spans="1:44">
      <c r="A17" s="1" t="s">
        <v>13</v>
      </c>
      <c r="B17" s="1">
        <f>SUMPRODUCT((NOT(ISBLANK(B$3:B$8))*(B$3:B$8=$AR$3:$AR$8))+ISBLANK(B$3:B$8))</f>
        <v>0</v>
      </c>
      <c r="C17" s="1"/>
      <c r="D17" s="1">
        <f>SUMPRODUCT((NOT(ISBLANK(D$3:D$8))*(D$3:D$8=$AR$3:$AR$8))+ISBLANK(D$3:D$8))</f>
        <v>0</v>
      </c>
      <c r="E17" s="1"/>
      <c r="F17" s="1">
        <f>SUMPRODUCT((NOT(ISBLANK(F$3:F$8))*(F$3:F$8=$AR$3:$AR$8))+ISBLANK(F$3:F$8))</f>
        <v>0</v>
      </c>
      <c r="G17" s="1"/>
      <c r="H17" s="1">
        <f>SUMPRODUCT((NOT(ISBLANK(H$3:H$8))*(H$3:H$8=$AR$3:$AR$8))+ISBLANK(H$3:H$8))</f>
        <v>0</v>
      </c>
      <c r="I17" s="1"/>
      <c r="J17" s="1">
        <f>SUMPRODUCT((NOT(ISBLANK(J$3:J$8))*(J$3:J$8=$AR$3:$AR$8))+ISBLANK(J$3:J$8))</f>
        <v>0</v>
      </c>
      <c r="K17" s="1"/>
      <c r="L17" s="1">
        <f>SUMPRODUCT((NOT(ISBLANK(L$3:L$8))*(L$3:L$8=$AR$3:$AR$8))+ISBLANK(L$3:L$8))</f>
        <v>0</v>
      </c>
      <c r="M17" s="1"/>
      <c r="N17" s="1">
        <f>SUMPRODUCT((NOT(ISBLANK(N$3:N$8))*(N$3:N$8=$AR$3:$AR$8))+ISBLANK(N$3:N$8))</f>
        <v>0</v>
      </c>
      <c r="O17" s="1"/>
      <c r="P17" s="1">
        <f>SUMPRODUCT((NOT(ISBLANK(P$3:P$8))*(P$3:P$8=$AR$3:$AR$8))+ISBLANK(P$3:P$8))</f>
        <v>0</v>
      </c>
      <c r="Q17" s="1"/>
      <c r="R17" s="1">
        <f>SUMPRODUCT((NOT(ISBLANK(R$3:R$8))*(R$3:R$8=$AR$3:$AR$8))+ISBLANK(R$3:R$8))</f>
        <v>0</v>
      </c>
      <c r="S17" s="1"/>
      <c r="T17" s="1">
        <f>SUMPRODUCT((NOT(ISBLANK(T$3:T$8))*(T$3:T$8=$AR$3:$AR$8))+ISBLANK(T$3:T$8))</f>
        <v>0</v>
      </c>
      <c r="U17" s="1"/>
      <c r="V17" s="1">
        <f>SUMPRODUCT((NOT(ISBLANK(V$3:V$8))*(V$3:V$8=$AR$3:$AR$8))+ISBLANK(V$3:V$8))</f>
        <v>0</v>
      </c>
      <c r="W17" s="1"/>
      <c r="X17" s="1">
        <f>SUMPRODUCT((NOT(ISBLANK(X$3:X$8))*(X$3:X$8=$AR$3:$AR$8))+ISBLANK(X$3:X$8))</f>
        <v>0</v>
      </c>
      <c r="Y17" s="1"/>
      <c r="Z17" s="1">
        <f>SUMPRODUCT((NOT(ISBLANK(Z$3:Z$8))*(Z$3:Z$8=$AR$3:$AR$8))+ISBLANK(Z$3:Z$8))</f>
        <v>0</v>
      </c>
      <c r="AA17" s="1"/>
      <c r="AB17" s="1">
        <f>SUMPRODUCT((NOT(ISBLANK(AB$3:AB$8))*(AB$3:AB$8=$AR$3:$AR$8))+ISBLANK(AB$3:AB$8))</f>
        <v>0</v>
      </c>
      <c r="AC17" s="1"/>
      <c r="AD17" s="1">
        <f>SUMPRODUCT((NOT(ISBLANK(AD$3:AD$8))*(AD$3:AD$8=$AR$3:$AR$8))+ISBLANK(AD$3:AD$8))</f>
        <v>0</v>
      </c>
      <c r="AE17" s="1"/>
      <c r="AF17" s="1">
        <f>SUMPRODUCT((NOT(ISBLANK(AF$3:AF$8))*(AF$3:AF$8=$AR$3:$AR$8))+ISBLANK(AF$3:AF$8))</f>
        <v>0</v>
      </c>
      <c r="AG17" s="1"/>
      <c r="AH17" s="1">
        <f>SUMPRODUCT((NOT(ISBLANK(AH$3:AH$8))*(AH$3:AH$8=$AR$3:$AR$8))+ISBLANK(AH$3:AH$8))</f>
        <v>0</v>
      </c>
      <c r="AI17" s="1"/>
      <c r="AJ17" s="1">
        <f>SUMPRODUCT((NOT(ISBLANK(AJ$3:AJ$8))*(AJ$3:AJ$8=$AR$3:$AR$8))+ISBLANK(AJ$3:AJ$8))</f>
        <v>0</v>
      </c>
      <c r="AK17" s="1"/>
      <c r="AL17" s="1">
        <f>SUMPRODUCT((NOT(ISBLANK(AL$3:AL$8))*(AL$3:AL$8=$AR$3:$AR$8))+ISBLANK(AL$3:AL$8))</f>
        <v>0</v>
      </c>
      <c r="AM17" s="1"/>
      <c r="AN17" s="1">
        <f>SUMPRODUCT((NOT(ISBLANK(AN$3:AN$8))*(AN$3:AN$8=$AR$3:$AR$8))+ISBLANK(AN$3:AN$8))</f>
        <v>0</v>
      </c>
      <c r="AO17" s="1"/>
      <c r="AP17" s="1"/>
      <c r="AQ17" s="1"/>
      <c r="AR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3" width="20.28515625" customWidth="1"/>
    <col min="4" max="5" width="21.140625" customWidth="1"/>
    <col min="6" max="7" width="20.28515625" customWidth="1"/>
    <col min="8" max="9" width="21.140625" customWidth="1"/>
    <col min="10" max="11" width="20.28515625" customWidth="1"/>
    <col min="12" max="13" width="21.140625" customWidth="1"/>
    <col min="14" max="15" width="20.28515625" customWidth="1"/>
    <col min="16" max="17" width="21.140625" customWidth="1"/>
    <col min="18" max="19" width="20" customWidth="1"/>
    <col min="20" max="21" width="20.42578125" customWidth="1"/>
    <col min="22" max="23" width="21.28515625" customWidth="1"/>
    <col min="24" max="25" width="20" customWidth="1"/>
    <col min="26" max="27" width="20.42578125" customWidth="1"/>
    <col min="28" max="29" width="21.28515625" customWidth="1"/>
    <col min="30" max="31" width="20" customWidth="1"/>
    <col min="32" max="33" width="20.42578125" customWidth="1"/>
    <col min="34" max="35" width="21.28515625" customWidth="1"/>
    <col min="36" max="37" width="20" customWidth="1"/>
    <col min="38" max="39" width="20.42578125" customWidth="1"/>
    <col min="40" max="41" width="21.28515625" customWidth="1"/>
    <col min="42" max="44" width="11.42578125" customWidth="1"/>
  </cols>
  <sheetData>
    <row r="1" spans="1:44">
      <c r="A1" s="1" t="s">
        <v>42</v>
      </c>
      <c r="B1" s="1" t="s">
        <v>14</v>
      </c>
      <c r="C1" s="1"/>
      <c r="D1" s="1" t="s">
        <v>19</v>
      </c>
      <c r="E1" s="1"/>
      <c r="F1" s="1" t="s">
        <v>20</v>
      </c>
      <c r="G1" s="1"/>
      <c r="H1" s="1" t="s">
        <v>21</v>
      </c>
      <c r="I1" s="1"/>
      <c r="J1" s="1" t="s">
        <v>22</v>
      </c>
      <c r="K1" s="1"/>
      <c r="L1" s="1" t="s">
        <v>23</v>
      </c>
      <c r="M1" s="1"/>
      <c r="N1" s="1" t="s">
        <v>24</v>
      </c>
      <c r="O1" s="1"/>
      <c r="P1" s="1" t="s">
        <v>25</v>
      </c>
      <c r="Q1" s="1"/>
      <c r="R1" s="1" t="s">
        <v>26</v>
      </c>
      <c r="S1" s="1"/>
      <c r="T1" s="1" t="s">
        <v>28</v>
      </c>
      <c r="U1" s="1"/>
      <c r="V1" s="1" t="s">
        <v>29</v>
      </c>
      <c r="W1" s="1"/>
      <c r="X1" s="1" t="s">
        <v>30</v>
      </c>
      <c r="Y1" s="1"/>
      <c r="Z1" s="1" t="s">
        <v>31</v>
      </c>
      <c r="AA1" s="1"/>
      <c r="AB1" s="1" t="s">
        <v>32</v>
      </c>
      <c r="AC1" s="1"/>
      <c r="AD1" s="1" t="s">
        <v>33</v>
      </c>
      <c r="AE1" s="1"/>
      <c r="AF1" s="1" t="s">
        <v>34</v>
      </c>
      <c r="AG1" s="1"/>
      <c r="AH1" s="1" t="s">
        <v>35</v>
      </c>
      <c r="AI1" s="1"/>
      <c r="AJ1" s="1" t="s">
        <v>36</v>
      </c>
      <c r="AK1" s="1"/>
      <c r="AL1" s="1" t="s">
        <v>37</v>
      </c>
      <c r="AM1" s="1"/>
      <c r="AN1" s="1" t="s">
        <v>38</v>
      </c>
      <c r="AO1" s="1"/>
      <c r="AP1" s="1" t="s">
        <v>39</v>
      </c>
      <c r="AQ1" s="1" t="s">
        <v>40</v>
      </c>
      <c r="AR1" s="1" t="s">
        <v>41</v>
      </c>
    </row>
    <row r="2" spans="1:44">
      <c r="A2" s="2" t="s">
        <v>40</v>
      </c>
      <c r="B2" s="1" t="s">
        <v>15</v>
      </c>
      <c r="C2" s="1" t="s">
        <v>16</v>
      </c>
      <c r="D2" s="1" t="s">
        <v>15</v>
      </c>
      <c r="E2" s="1" t="s">
        <v>16</v>
      </c>
      <c r="F2" s="1" t="s">
        <v>15</v>
      </c>
      <c r="G2" s="1" t="s">
        <v>16</v>
      </c>
      <c r="H2" s="1" t="s">
        <v>15</v>
      </c>
      <c r="I2" s="1" t="s">
        <v>16</v>
      </c>
      <c r="J2" s="1" t="s">
        <v>15</v>
      </c>
      <c r="K2" s="1" t="s">
        <v>16</v>
      </c>
      <c r="L2" s="1" t="s">
        <v>15</v>
      </c>
      <c r="M2" s="1" t="s">
        <v>16</v>
      </c>
      <c r="N2" s="1" t="s">
        <v>15</v>
      </c>
      <c r="O2" s="1" t="s">
        <v>16</v>
      </c>
      <c r="P2" s="1" t="s">
        <v>15</v>
      </c>
      <c r="Q2" s="1" t="s">
        <v>16</v>
      </c>
      <c r="R2" s="1" t="s">
        <v>15</v>
      </c>
      <c r="S2" s="1" t="s">
        <v>16</v>
      </c>
      <c r="T2" s="1" t="s">
        <v>15</v>
      </c>
      <c r="U2" s="1" t="s">
        <v>16</v>
      </c>
      <c r="V2" s="1" t="s">
        <v>15</v>
      </c>
      <c r="W2" s="1" t="s">
        <v>16</v>
      </c>
      <c r="X2" s="1" t="s">
        <v>15</v>
      </c>
      <c r="Y2" s="1" t="s">
        <v>16</v>
      </c>
      <c r="Z2" s="1" t="s">
        <v>15</v>
      </c>
      <c r="AA2" s="1" t="s">
        <v>16</v>
      </c>
      <c r="AB2" s="1" t="s">
        <v>15</v>
      </c>
      <c r="AC2" s="1" t="s">
        <v>16</v>
      </c>
      <c r="AD2" s="1" t="s">
        <v>15</v>
      </c>
      <c r="AE2" s="1" t="s">
        <v>16</v>
      </c>
      <c r="AF2" s="1" t="s">
        <v>15</v>
      </c>
      <c r="AG2" s="1" t="s">
        <v>16</v>
      </c>
      <c r="AH2" s="1" t="s">
        <v>15</v>
      </c>
      <c r="AI2" s="1" t="s">
        <v>16</v>
      </c>
      <c r="AJ2" s="1" t="s">
        <v>15</v>
      </c>
      <c r="AK2" s="1" t="s">
        <v>16</v>
      </c>
      <c r="AL2" s="1" t="s">
        <v>15</v>
      </c>
      <c r="AM2" s="1" t="s">
        <v>16</v>
      </c>
      <c r="AN2" s="1" t="s">
        <v>15</v>
      </c>
      <c r="AO2" s="1" t="s">
        <v>16</v>
      </c>
      <c r="AP2" s="1" t="s">
        <v>15</v>
      </c>
      <c r="AQ2" s="1" t="s">
        <v>15</v>
      </c>
      <c r="AR2" s="1" t="s">
        <v>15</v>
      </c>
    </row>
    <row r="3" spans="1:4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/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/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/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/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/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/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/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/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/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/>
      <c r="AP3" s="1">
        <f>MIN($B3,$D3,$F3,$H3,$J3,$L3,$N3,$P3,$R3,$T3,$V3,$X3,$Z3,$AB3,$AD3,$AF3,$AH3,$AJ3,$AL3,$AN3)</f>
        <v>0</v>
      </c>
      <c r="AQ3" s="1">
        <f>MEDIAN($B3,$D3,$F3,$H3,$J3,$L3,$N3,$P3,$R3,$T3,$V3,$X3,$Z3,$AB3,$AD3,$AF3,$AH3,$AJ3,$AL3,$AN3)</f>
        <v>0</v>
      </c>
      <c r="AR3" s="1">
        <f>MAX($B3,$D3,$F3,$H3,$J3,$L3,$N3,$P3,$R3,$T3,$V3,$X3,$Z3,$AB3,$AD3,$AF3,$AH3,$AJ3,$AL3,$AN3)</f>
        <v>0</v>
      </c>
    </row>
    <row r="4" spans="1:44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/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/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/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>
        <f>MIN($B4,$D4,$F4,$H4,$J4,$L4,$N4,$P4,$R4,$T4,$V4,$X4,$Z4,$AB4,$AD4,$AF4,$AH4,$AJ4,$AL4,$AN4)</f>
        <v>0</v>
      </c>
      <c r="AQ4" s="1">
        <f>MEDIAN($B4,$D4,$F4,$H4,$J4,$L4,$N4,$P4,$R4,$T4,$V4,$X4,$Z4,$AB4,$AD4,$AF4,$AH4,$AJ4,$AL4,$AN4)</f>
        <v>0</v>
      </c>
      <c r="AR4" s="1">
        <f>MAX($B4,$D4,$F4,$H4,$J4,$L4,$N4,$P4,$R4,$T4,$V4,$X4,$Z4,$AB4,$AD4,$AF4,$AH4,$AJ4,$AL4,$AN4)</f>
        <v>0</v>
      </c>
    </row>
    <row r="5" spans="1:44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/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/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>
        <f>MIN($B5,$D5,$F5,$H5,$J5,$L5,$N5,$P5,$R5,$T5,$V5,$X5,$Z5,$AB5,$AD5,$AF5,$AH5,$AJ5,$AL5,$AN5)</f>
        <v>0</v>
      </c>
      <c r="AQ5" s="1">
        <f>MEDIAN($B5,$D5,$F5,$H5,$J5,$L5,$N5,$P5,$R5,$T5,$V5,$X5,$Z5,$AB5,$AD5,$AF5,$AH5,$AJ5,$AL5,$AN5)</f>
        <v>0</v>
      </c>
      <c r="AR5" s="1">
        <f>MAX($B5,$D5,$F5,$H5,$J5,$L5,$N5,$P5,$R5,$T5,$V5,$X5,$Z5,$AB5,$AD5,$AF5,$AH5,$AJ5,$AL5,$AN5)</f>
        <v>0</v>
      </c>
    </row>
    <row r="6" spans="1:44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/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/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/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/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/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>
        <f>MIN($B6,$D6,$F6,$H6,$J6,$L6,$N6,$P6,$R6,$T6,$V6,$X6,$Z6,$AB6,$AD6,$AF6,$AH6,$AJ6,$AL6,$AN6)</f>
        <v>0</v>
      </c>
      <c r="AQ6" s="1">
        <f>MEDIAN($B6,$D6,$F6,$H6,$J6,$L6,$N6,$P6,$R6,$T6,$V6,$X6,$Z6,$AB6,$AD6,$AF6,$AH6,$AJ6,$AL6,$AN6)</f>
        <v>0</v>
      </c>
      <c r="AR6" s="1">
        <f>MAX($B6,$D6,$F6,$H6,$J6,$L6,$N6,$P6,$R6,$T6,$V6,$X6,$Z6,$AB6,$AD6,$AF6,$AH6,$AJ6,$AL6,$AN6)</f>
        <v>0</v>
      </c>
    </row>
    <row r="7" spans="1:44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/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/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/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/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/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>
        <f>MIN($B7,$D7,$F7,$H7,$J7,$L7,$N7,$P7,$R7,$T7,$V7,$X7,$Z7,$AB7,$AD7,$AF7,$AH7,$AJ7,$AL7,$AN7)</f>
        <v>0</v>
      </c>
      <c r="AQ7" s="1">
        <f>MEDIAN($B7,$D7,$F7,$H7,$J7,$L7,$N7,$P7,$R7,$T7,$V7,$X7,$Z7,$AB7,$AD7,$AF7,$AH7,$AJ7,$AL7,$AN7)</f>
        <v>0</v>
      </c>
      <c r="AR7" s="1">
        <f>MAX($B7,$D7,$F7,$H7,$J7,$L7,$N7,$P7,$R7,$T7,$V7,$X7,$Z7,$AB7,$AD7,$AF7,$AH7,$AJ7,$AL7,$AN7)</f>
        <v>0</v>
      </c>
    </row>
    <row r="8" spans="1:44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/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/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/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/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/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>
        <f>MIN($B8,$D8,$F8,$H8,$J8,$L8,$N8,$P8,$R8,$T8,$V8,$X8,$Z8,$AB8,$AD8,$AF8,$AH8,$AJ8,$AL8,$AN8)</f>
        <v>0</v>
      </c>
      <c r="AQ8" s="1">
        <f>MEDIAN($B8,$D8,$F8,$H8,$J8,$L8,$N8,$P8,$R8,$T8,$V8,$X8,$Z8,$AB8,$AD8,$AF8,$AH8,$AJ8,$AL8,$AN8)</f>
        <v>0</v>
      </c>
      <c r="AR8" s="1">
        <f>MAX($B8,$D8,$F8,$H8,$J8,$L8,$N8,$P8,$R8,$T8,$V8,$X8,$Z8,$AB8,$AD8,$AF8,$AH8,$AJ8,$AL8,$AN8)</f>
        <v>0</v>
      </c>
    </row>
    <row r="9" spans="1:4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>
      <c r="A10" s="1" t="s">
        <v>6</v>
      </c>
      <c r="B10" s="1">
        <f>SUM(B$3:B$8)</f>
        <v>0</v>
      </c>
      <c r="C10" s="1"/>
      <c r="D10" s="1">
        <f>SUM(D$3:D$8)</f>
        <v>0</v>
      </c>
      <c r="E10" s="1"/>
      <c r="F10" s="1">
        <f>SUM(F$3:F$8)</f>
        <v>0</v>
      </c>
      <c r="G10" s="1"/>
      <c r="H10" s="1">
        <f>SUM(H$3:H$8)</f>
        <v>0</v>
      </c>
      <c r="I10" s="1"/>
      <c r="J10" s="1">
        <f>SUM(J$3:J$8)</f>
        <v>0</v>
      </c>
      <c r="K10" s="1"/>
      <c r="L10" s="1">
        <f>SUM(L$3:L$8)</f>
        <v>0</v>
      </c>
      <c r="M10" s="1"/>
      <c r="N10" s="1">
        <f>SUM(N$3:N$8)</f>
        <v>0</v>
      </c>
      <c r="O10" s="1"/>
      <c r="P10" s="1">
        <f>SUM(P$3:P$8)</f>
        <v>0</v>
      </c>
      <c r="Q10" s="1"/>
      <c r="R10" s="1">
        <f>SUM(R$3:R$8)</f>
        <v>0</v>
      </c>
      <c r="S10" s="1"/>
      <c r="T10" s="1">
        <f>SUM(T$3:T$8)</f>
        <v>0</v>
      </c>
      <c r="U10" s="1"/>
      <c r="V10" s="1">
        <f>SUM(V$3:V$8)</f>
        <v>0</v>
      </c>
      <c r="W10" s="1"/>
      <c r="X10" s="1">
        <f>SUM(X$3:X$8)</f>
        <v>0</v>
      </c>
      <c r="Y10" s="1"/>
      <c r="Z10" s="1">
        <f>SUM(Z$3:Z$8)</f>
        <v>0</v>
      </c>
      <c r="AA10" s="1"/>
      <c r="AB10" s="1">
        <f>SUM(AB$3:AB$8)</f>
        <v>0</v>
      </c>
      <c r="AC10" s="1"/>
      <c r="AD10" s="1">
        <f>SUM(AD$3:AD$8)</f>
        <v>0</v>
      </c>
      <c r="AE10" s="1"/>
      <c r="AF10" s="1">
        <f>SUM(AF$3:AF$8)</f>
        <v>0</v>
      </c>
      <c r="AG10" s="1"/>
      <c r="AH10" s="1">
        <f>SUM(AH$3:AH$8)</f>
        <v>0</v>
      </c>
      <c r="AI10" s="1"/>
      <c r="AJ10" s="1">
        <f>SUM(AJ$3:AJ$8)</f>
        <v>0</v>
      </c>
      <c r="AK10" s="1"/>
      <c r="AL10" s="1">
        <f>SUM(AL$3:AL$8)</f>
        <v>0</v>
      </c>
      <c r="AM10" s="1"/>
      <c r="AN10" s="1">
        <f>SUM(AN$3:AN$8)</f>
        <v>0</v>
      </c>
      <c r="AO10" s="1"/>
      <c r="AP10" s="1">
        <f>SUM(AP$3:AP$8)</f>
        <v>0</v>
      </c>
      <c r="AQ10" s="1">
        <f>SUM(AQ$3:AQ$8)</f>
        <v>0</v>
      </c>
      <c r="AR10" s="1">
        <f>SUM(AR$3:AR$8)</f>
        <v>0</v>
      </c>
    </row>
    <row r="11" spans="1:44">
      <c r="A11" s="1" t="s">
        <v>7</v>
      </c>
      <c r="B11" s="1">
        <f>AVERAGE(B$3:B$8)</f>
        <v>0</v>
      </c>
      <c r="C11" s="1"/>
      <c r="D11" s="1">
        <f>AVERAGE(D$3:D$8)</f>
        <v>0</v>
      </c>
      <c r="E11" s="1"/>
      <c r="F11" s="1">
        <f>AVERAGE(F$3:F$8)</f>
        <v>0</v>
      </c>
      <c r="G11" s="1"/>
      <c r="H11" s="1">
        <f>AVERAGE(H$3:H$8)</f>
        <v>0</v>
      </c>
      <c r="I11" s="1"/>
      <c r="J11" s="1">
        <f>AVERAGE(J$3:J$8)</f>
        <v>0</v>
      </c>
      <c r="K11" s="1"/>
      <c r="L11" s="1">
        <f>AVERAGE(L$3:L$8)</f>
        <v>0</v>
      </c>
      <c r="M11" s="1"/>
      <c r="N11" s="1">
        <f>AVERAGE(N$3:N$8)</f>
        <v>0</v>
      </c>
      <c r="O11" s="1"/>
      <c r="P11" s="1">
        <f>AVERAGE(P$3:P$8)</f>
        <v>0</v>
      </c>
      <c r="Q11" s="1"/>
      <c r="R11" s="1">
        <f>AVERAGE(R$3:R$8)</f>
        <v>0</v>
      </c>
      <c r="S11" s="1"/>
      <c r="T11" s="1">
        <f>AVERAGE(T$3:T$8)</f>
        <v>0</v>
      </c>
      <c r="U11" s="1"/>
      <c r="V11" s="1">
        <f>AVERAGE(V$3:V$8)</f>
        <v>0</v>
      </c>
      <c r="W11" s="1"/>
      <c r="X11" s="1">
        <f>AVERAGE(X$3:X$8)</f>
        <v>0</v>
      </c>
      <c r="Y11" s="1"/>
      <c r="Z11" s="1">
        <f>AVERAGE(Z$3:Z$8)</f>
        <v>0</v>
      </c>
      <c r="AA11" s="1"/>
      <c r="AB11" s="1">
        <f>AVERAGE(AB$3:AB$8)</f>
        <v>0</v>
      </c>
      <c r="AC11" s="1"/>
      <c r="AD11" s="1">
        <f>AVERAGE(AD$3:AD$8)</f>
        <v>0</v>
      </c>
      <c r="AE11" s="1"/>
      <c r="AF11" s="1">
        <f>AVERAGE(AF$3:AF$8)</f>
        <v>0</v>
      </c>
      <c r="AG11" s="1"/>
      <c r="AH11" s="1">
        <f>AVERAGE(AH$3:AH$8)</f>
        <v>0</v>
      </c>
      <c r="AI11" s="1"/>
      <c r="AJ11" s="1">
        <f>AVERAGE(AJ$3:AJ$8)</f>
        <v>0</v>
      </c>
      <c r="AK11" s="1"/>
      <c r="AL11" s="1">
        <f>AVERAGE(AL$3:AL$8)</f>
        <v>0</v>
      </c>
      <c r="AM11" s="1"/>
      <c r="AN11" s="1">
        <f>AVERAGE(AN$3:AN$8)</f>
        <v>0</v>
      </c>
      <c r="AO11" s="1"/>
      <c r="AP11" s="1">
        <f>AVERAGE(AP$3:AP$8)</f>
        <v>0</v>
      </c>
      <c r="AQ11" s="1">
        <f>AVERAGE(AQ$3:AQ$8)</f>
        <v>0</v>
      </c>
      <c r="AR11" s="1">
        <f>AVERAGE(AR$3:AR$8)</f>
        <v>0</v>
      </c>
    </row>
    <row r="12" spans="1:44">
      <c r="A12" s="1" t="s">
        <v>8</v>
      </c>
      <c r="B12" s="1">
        <f>STDEV(B$3:B$8)</f>
        <v>0</v>
      </c>
      <c r="C12" s="1"/>
      <c r="D12" s="1">
        <f>STDEV(D$3:D$8)</f>
        <v>0</v>
      </c>
      <c r="E12" s="1"/>
      <c r="F12" s="1">
        <f>STDEV(F$3:F$8)</f>
        <v>0</v>
      </c>
      <c r="G12" s="1"/>
      <c r="H12" s="1">
        <f>STDEV(H$3:H$8)</f>
        <v>0</v>
      </c>
      <c r="I12" s="1"/>
      <c r="J12" s="1">
        <f>STDEV(J$3:J$8)</f>
        <v>0</v>
      </c>
      <c r="K12" s="1"/>
      <c r="L12" s="1">
        <f>STDEV(L$3:L$8)</f>
        <v>0</v>
      </c>
      <c r="M12" s="1"/>
      <c r="N12" s="1">
        <f>STDEV(N$3:N$8)</f>
        <v>0</v>
      </c>
      <c r="O12" s="1"/>
      <c r="P12" s="1">
        <f>STDEV(P$3:P$8)</f>
        <v>0</v>
      </c>
      <c r="Q12" s="1"/>
      <c r="R12" s="1">
        <f>STDEV(R$3:R$8)</f>
        <v>0</v>
      </c>
      <c r="S12" s="1"/>
      <c r="T12" s="1">
        <f>STDEV(T$3:T$8)</f>
        <v>0</v>
      </c>
      <c r="U12" s="1"/>
      <c r="V12" s="1">
        <f>STDEV(V$3:V$8)</f>
        <v>0</v>
      </c>
      <c r="W12" s="1"/>
      <c r="X12" s="1">
        <f>STDEV(X$3:X$8)</f>
        <v>0</v>
      </c>
      <c r="Y12" s="1"/>
      <c r="Z12" s="1">
        <f>STDEV(Z$3:Z$8)</f>
        <v>0</v>
      </c>
      <c r="AA12" s="1"/>
      <c r="AB12" s="1">
        <f>STDEV(AB$3:AB$8)</f>
        <v>0</v>
      </c>
      <c r="AC12" s="1"/>
      <c r="AD12" s="1">
        <f>STDEV(AD$3:AD$8)</f>
        <v>0</v>
      </c>
      <c r="AE12" s="1"/>
      <c r="AF12" s="1">
        <f>STDEV(AF$3:AF$8)</f>
        <v>0</v>
      </c>
      <c r="AG12" s="1"/>
      <c r="AH12" s="1">
        <f>STDEV(AH$3:AH$8)</f>
        <v>0</v>
      </c>
      <c r="AI12" s="1"/>
      <c r="AJ12" s="1">
        <f>STDEV(AJ$3:AJ$8)</f>
        <v>0</v>
      </c>
      <c r="AK12" s="1"/>
      <c r="AL12" s="1">
        <f>STDEV(AL$3:AL$8)</f>
        <v>0</v>
      </c>
      <c r="AM12" s="1"/>
      <c r="AN12" s="1">
        <f>STDEV(AN$3:AN$8)</f>
        <v>0</v>
      </c>
      <c r="AO12" s="1"/>
      <c r="AP12" s="1">
        <f>STDEV(AP$3:AP$8)</f>
        <v>0</v>
      </c>
      <c r="AQ12" s="1">
        <f>STDEV(AQ$3:AQ$8)</f>
        <v>0</v>
      </c>
      <c r="AR12" s="1">
        <f>STDEV(AR$3:AR$8)</f>
        <v>0</v>
      </c>
    </row>
    <row r="13" spans="1:44">
      <c r="A13" s="1" t="s">
        <v>9</v>
      </c>
      <c r="B13" s="1">
        <f>SUMPRODUCT(--(B$3:B$8-$AP$3:$AP$8)^2)^0.5</f>
        <v>0</v>
      </c>
      <c r="C13" s="1"/>
      <c r="D13" s="1">
        <f>SUMPRODUCT(--(D$3:D$8-$AP$3:$AP$8)^2)^0.5</f>
        <v>0</v>
      </c>
      <c r="E13" s="1"/>
      <c r="F13" s="1">
        <f>SUMPRODUCT(--(F$3:F$8-$AP$3:$AP$8)^2)^0.5</f>
        <v>0</v>
      </c>
      <c r="G13" s="1"/>
      <c r="H13" s="1">
        <f>SUMPRODUCT(--(H$3:H$8-$AP$3:$AP$8)^2)^0.5</f>
        <v>0</v>
      </c>
      <c r="I13" s="1"/>
      <c r="J13" s="1">
        <f>SUMPRODUCT(--(J$3:J$8-$AP$3:$AP$8)^2)^0.5</f>
        <v>0</v>
      </c>
      <c r="K13" s="1"/>
      <c r="L13" s="1">
        <f>SUMPRODUCT(--(L$3:L$8-$AP$3:$AP$8)^2)^0.5</f>
        <v>0</v>
      </c>
      <c r="M13" s="1"/>
      <c r="N13" s="1">
        <f>SUMPRODUCT(--(N$3:N$8-$AP$3:$AP$8)^2)^0.5</f>
        <v>0</v>
      </c>
      <c r="O13" s="1"/>
      <c r="P13" s="1">
        <f>SUMPRODUCT(--(P$3:P$8-$AP$3:$AP$8)^2)^0.5</f>
        <v>0</v>
      </c>
      <c r="Q13" s="1"/>
      <c r="R13" s="1">
        <f>SUMPRODUCT(--(R$3:R$8-$AP$3:$AP$8)^2)^0.5</f>
        <v>0</v>
      </c>
      <c r="S13" s="1"/>
      <c r="T13" s="1">
        <f>SUMPRODUCT(--(T$3:T$8-$AP$3:$AP$8)^2)^0.5</f>
        <v>0</v>
      </c>
      <c r="U13" s="1"/>
      <c r="V13" s="1">
        <f>SUMPRODUCT(--(V$3:V$8-$AP$3:$AP$8)^2)^0.5</f>
        <v>0</v>
      </c>
      <c r="W13" s="1"/>
      <c r="X13" s="1">
        <f>SUMPRODUCT(--(X$3:X$8-$AP$3:$AP$8)^2)^0.5</f>
        <v>0</v>
      </c>
      <c r="Y13" s="1"/>
      <c r="Z13" s="1">
        <f>SUMPRODUCT(--(Z$3:Z$8-$AP$3:$AP$8)^2)^0.5</f>
        <v>0</v>
      </c>
      <c r="AA13" s="1"/>
      <c r="AB13" s="1">
        <f>SUMPRODUCT(--(AB$3:AB$8-$AP$3:$AP$8)^2)^0.5</f>
        <v>0</v>
      </c>
      <c r="AC13" s="1"/>
      <c r="AD13" s="1">
        <f>SUMPRODUCT(--(AD$3:AD$8-$AP$3:$AP$8)^2)^0.5</f>
        <v>0</v>
      </c>
      <c r="AE13" s="1"/>
      <c r="AF13" s="1">
        <f>SUMPRODUCT(--(AF$3:AF$8-$AP$3:$AP$8)^2)^0.5</f>
        <v>0</v>
      </c>
      <c r="AG13" s="1"/>
      <c r="AH13" s="1">
        <f>SUMPRODUCT(--(AH$3:AH$8-$AP$3:$AP$8)^2)^0.5</f>
        <v>0</v>
      </c>
      <c r="AI13" s="1"/>
      <c r="AJ13" s="1">
        <f>SUMPRODUCT(--(AJ$3:AJ$8-$AP$3:$AP$8)^2)^0.5</f>
        <v>0</v>
      </c>
      <c r="AK13" s="1"/>
      <c r="AL13" s="1">
        <f>SUMPRODUCT(--(AL$3:AL$8-$AP$3:$AP$8)^2)^0.5</f>
        <v>0</v>
      </c>
      <c r="AM13" s="1"/>
      <c r="AN13" s="1">
        <f>SUMPRODUCT(--(AN$3:AN$8-$AP$3:$AP$8)^2)^0.5</f>
        <v>0</v>
      </c>
      <c r="AO13" s="1"/>
      <c r="AP13" s="1"/>
      <c r="AQ13" s="1"/>
      <c r="AR13" s="1"/>
    </row>
    <row r="14" spans="1:44">
      <c r="A14" s="1" t="s">
        <v>10</v>
      </c>
      <c r="B14" s="1">
        <f>SUMPRODUCT(NOT(ISBLANK(B$3:B$8))*(B$3:B$8=$AP$3:$AP$8))</f>
        <v>0</v>
      </c>
      <c r="C14" s="1"/>
      <c r="D14" s="1">
        <f>SUMPRODUCT(NOT(ISBLANK(D$3:D$8))*(D$3:D$8=$AP$3:$AP$8))</f>
        <v>0</v>
      </c>
      <c r="E14" s="1"/>
      <c r="F14" s="1">
        <f>SUMPRODUCT(NOT(ISBLANK(F$3:F$8))*(F$3:F$8=$AP$3:$AP$8))</f>
        <v>0</v>
      </c>
      <c r="G14" s="1"/>
      <c r="H14" s="1">
        <f>SUMPRODUCT(NOT(ISBLANK(H$3:H$8))*(H$3:H$8=$AP$3:$AP$8))</f>
        <v>0</v>
      </c>
      <c r="I14" s="1"/>
      <c r="J14" s="1">
        <f>SUMPRODUCT(NOT(ISBLANK(J$3:J$8))*(J$3:J$8=$AP$3:$AP$8))</f>
        <v>0</v>
      </c>
      <c r="K14" s="1"/>
      <c r="L14" s="1">
        <f>SUMPRODUCT(NOT(ISBLANK(L$3:L$8))*(L$3:L$8=$AP$3:$AP$8))</f>
        <v>0</v>
      </c>
      <c r="M14" s="1"/>
      <c r="N14" s="1">
        <f>SUMPRODUCT(NOT(ISBLANK(N$3:N$8))*(N$3:N$8=$AP$3:$AP$8))</f>
        <v>0</v>
      </c>
      <c r="O14" s="1"/>
      <c r="P14" s="1">
        <f>SUMPRODUCT(NOT(ISBLANK(P$3:P$8))*(P$3:P$8=$AP$3:$AP$8))</f>
        <v>0</v>
      </c>
      <c r="Q14" s="1"/>
      <c r="R14" s="1">
        <f>SUMPRODUCT(NOT(ISBLANK(R$3:R$8))*(R$3:R$8=$AP$3:$AP$8))</f>
        <v>0</v>
      </c>
      <c r="S14" s="1"/>
      <c r="T14" s="1">
        <f>SUMPRODUCT(NOT(ISBLANK(T$3:T$8))*(T$3:T$8=$AP$3:$AP$8))</f>
        <v>0</v>
      </c>
      <c r="U14" s="1"/>
      <c r="V14" s="1">
        <f>SUMPRODUCT(NOT(ISBLANK(V$3:V$8))*(V$3:V$8=$AP$3:$AP$8))</f>
        <v>0</v>
      </c>
      <c r="W14" s="1"/>
      <c r="X14" s="1">
        <f>SUMPRODUCT(NOT(ISBLANK(X$3:X$8))*(X$3:X$8=$AP$3:$AP$8))</f>
        <v>0</v>
      </c>
      <c r="Y14" s="1"/>
      <c r="Z14" s="1">
        <f>SUMPRODUCT(NOT(ISBLANK(Z$3:Z$8))*(Z$3:Z$8=$AP$3:$AP$8))</f>
        <v>0</v>
      </c>
      <c r="AA14" s="1"/>
      <c r="AB14" s="1">
        <f>SUMPRODUCT(NOT(ISBLANK(AB$3:AB$8))*(AB$3:AB$8=$AP$3:$AP$8))</f>
        <v>0</v>
      </c>
      <c r="AC14" s="1"/>
      <c r="AD14" s="1">
        <f>SUMPRODUCT(NOT(ISBLANK(AD$3:AD$8))*(AD$3:AD$8=$AP$3:$AP$8))</f>
        <v>0</v>
      </c>
      <c r="AE14" s="1"/>
      <c r="AF14" s="1">
        <f>SUMPRODUCT(NOT(ISBLANK(AF$3:AF$8))*(AF$3:AF$8=$AP$3:$AP$8))</f>
        <v>0</v>
      </c>
      <c r="AG14" s="1"/>
      <c r="AH14" s="1">
        <f>SUMPRODUCT(NOT(ISBLANK(AH$3:AH$8))*(AH$3:AH$8=$AP$3:$AP$8))</f>
        <v>0</v>
      </c>
      <c r="AI14" s="1"/>
      <c r="AJ14" s="1">
        <f>SUMPRODUCT(NOT(ISBLANK(AJ$3:AJ$8))*(AJ$3:AJ$8=$AP$3:$AP$8))</f>
        <v>0</v>
      </c>
      <c r="AK14" s="1"/>
      <c r="AL14" s="1">
        <f>SUMPRODUCT(NOT(ISBLANK(AL$3:AL$8))*(AL$3:AL$8=$AP$3:$AP$8))</f>
        <v>0</v>
      </c>
      <c r="AM14" s="1"/>
      <c r="AN14" s="1">
        <f>SUMPRODUCT(NOT(ISBLANK(AN$3:AN$8))*(AN$3:AN$8=$AP$3:$AP$8))</f>
        <v>0</v>
      </c>
      <c r="AO14" s="1"/>
      <c r="AP14" s="1"/>
      <c r="AQ14" s="1"/>
      <c r="AR14" s="1"/>
    </row>
    <row r="15" spans="1:44">
      <c r="A15" s="1" t="s">
        <v>11</v>
      </c>
      <c r="B15" s="1">
        <f>SUMPRODUCT(NOT(ISBLANK(B$3:B$8))*(B$3:B$8&lt;$AQ$3:$AQ$8))</f>
        <v>0</v>
      </c>
      <c r="C15" s="1"/>
      <c r="D15" s="1">
        <f>SUMPRODUCT(NOT(ISBLANK(D$3:D$8))*(D$3:D$8&lt;$AQ$3:$AQ$8))</f>
        <v>0</v>
      </c>
      <c r="E15" s="1"/>
      <c r="F15" s="1">
        <f>SUMPRODUCT(NOT(ISBLANK(F$3:F$8))*(F$3:F$8&lt;$AQ$3:$AQ$8))</f>
        <v>0</v>
      </c>
      <c r="G15" s="1"/>
      <c r="H15" s="1">
        <f>SUMPRODUCT(NOT(ISBLANK(H$3:H$8))*(H$3:H$8&lt;$AQ$3:$AQ$8))</f>
        <v>0</v>
      </c>
      <c r="I15" s="1"/>
      <c r="J15" s="1">
        <f>SUMPRODUCT(NOT(ISBLANK(J$3:J$8))*(J$3:J$8&lt;$AQ$3:$AQ$8))</f>
        <v>0</v>
      </c>
      <c r="K15" s="1"/>
      <c r="L15" s="1">
        <f>SUMPRODUCT(NOT(ISBLANK(L$3:L$8))*(L$3:L$8&lt;$AQ$3:$AQ$8))</f>
        <v>0</v>
      </c>
      <c r="M15" s="1"/>
      <c r="N15" s="1">
        <f>SUMPRODUCT(NOT(ISBLANK(N$3:N$8))*(N$3:N$8&lt;$AQ$3:$AQ$8))</f>
        <v>0</v>
      </c>
      <c r="O15" s="1"/>
      <c r="P15" s="1">
        <f>SUMPRODUCT(NOT(ISBLANK(P$3:P$8))*(P$3:P$8&lt;$AQ$3:$AQ$8))</f>
        <v>0</v>
      </c>
      <c r="Q15" s="1"/>
      <c r="R15" s="1">
        <f>SUMPRODUCT(NOT(ISBLANK(R$3:R$8))*(R$3:R$8&lt;$AQ$3:$AQ$8))</f>
        <v>0</v>
      </c>
      <c r="S15" s="1"/>
      <c r="T15" s="1">
        <f>SUMPRODUCT(NOT(ISBLANK(T$3:T$8))*(T$3:T$8&lt;$AQ$3:$AQ$8))</f>
        <v>0</v>
      </c>
      <c r="U15" s="1"/>
      <c r="V15" s="1">
        <f>SUMPRODUCT(NOT(ISBLANK(V$3:V$8))*(V$3:V$8&lt;$AQ$3:$AQ$8))</f>
        <v>0</v>
      </c>
      <c r="W15" s="1"/>
      <c r="X15" s="1">
        <f>SUMPRODUCT(NOT(ISBLANK(X$3:X$8))*(X$3:X$8&lt;$AQ$3:$AQ$8))</f>
        <v>0</v>
      </c>
      <c r="Y15" s="1"/>
      <c r="Z15" s="1">
        <f>SUMPRODUCT(NOT(ISBLANK(Z$3:Z$8))*(Z$3:Z$8&lt;$AQ$3:$AQ$8))</f>
        <v>0</v>
      </c>
      <c r="AA15" s="1"/>
      <c r="AB15" s="1">
        <f>SUMPRODUCT(NOT(ISBLANK(AB$3:AB$8))*(AB$3:AB$8&lt;$AQ$3:$AQ$8))</f>
        <v>0</v>
      </c>
      <c r="AC15" s="1"/>
      <c r="AD15" s="1">
        <f>SUMPRODUCT(NOT(ISBLANK(AD$3:AD$8))*(AD$3:AD$8&lt;$AQ$3:$AQ$8))</f>
        <v>0</v>
      </c>
      <c r="AE15" s="1"/>
      <c r="AF15" s="1">
        <f>SUMPRODUCT(NOT(ISBLANK(AF$3:AF$8))*(AF$3:AF$8&lt;$AQ$3:$AQ$8))</f>
        <v>0</v>
      </c>
      <c r="AG15" s="1"/>
      <c r="AH15" s="1">
        <f>SUMPRODUCT(NOT(ISBLANK(AH$3:AH$8))*(AH$3:AH$8&lt;$AQ$3:$AQ$8))</f>
        <v>0</v>
      </c>
      <c r="AI15" s="1"/>
      <c r="AJ15" s="1">
        <f>SUMPRODUCT(NOT(ISBLANK(AJ$3:AJ$8))*(AJ$3:AJ$8&lt;$AQ$3:$AQ$8))</f>
        <v>0</v>
      </c>
      <c r="AK15" s="1"/>
      <c r="AL15" s="1">
        <f>SUMPRODUCT(NOT(ISBLANK(AL$3:AL$8))*(AL$3:AL$8&lt;$AQ$3:$AQ$8))</f>
        <v>0</v>
      </c>
      <c r="AM15" s="1"/>
      <c r="AN15" s="1">
        <f>SUMPRODUCT(NOT(ISBLANK(AN$3:AN$8))*(AN$3:AN$8&lt;$AQ$3:$AQ$8))</f>
        <v>0</v>
      </c>
      <c r="AO15" s="1"/>
      <c r="AP15" s="1"/>
      <c r="AQ15" s="1"/>
      <c r="AR15" s="1"/>
    </row>
    <row r="16" spans="1:44">
      <c r="A16" s="1" t="s">
        <v>12</v>
      </c>
      <c r="B16" s="1">
        <f>SUMPRODUCT((NOT(ISBLANK(B$3:B$8))*(B$3:B$8&gt;$AQ$3:$AQ$8))+ISBLANK(B$3:B$8))</f>
        <v>0</v>
      </c>
      <c r="C16" s="1"/>
      <c r="D16" s="1">
        <f>SUMPRODUCT((NOT(ISBLANK(D$3:D$8))*(D$3:D$8&gt;$AQ$3:$AQ$8))+ISBLANK(D$3:D$8))</f>
        <v>0</v>
      </c>
      <c r="E16" s="1"/>
      <c r="F16" s="1">
        <f>SUMPRODUCT((NOT(ISBLANK(F$3:F$8))*(F$3:F$8&gt;$AQ$3:$AQ$8))+ISBLANK(F$3:F$8))</f>
        <v>0</v>
      </c>
      <c r="G16" s="1"/>
      <c r="H16" s="1">
        <f>SUMPRODUCT((NOT(ISBLANK(H$3:H$8))*(H$3:H$8&gt;$AQ$3:$AQ$8))+ISBLANK(H$3:H$8))</f>
        <v>0</v>
      </c>
      <c r="I16" s="1"/>
      <c r="J16" s="1">
        <f>SUMPRODUCT((NOT(ISBLANK(J$3:J$8))*(J$3:J$8&gt;$AQ$3:$AQ$8))+ISBLANK(J$3:J$8))</f>
        <v>0</v>
      </c>
      <c r="K16" s="1"/>
      <c r="L16" s="1">
        <f>SUMPRODUCT((NOT(ISBLANK(L$3:L$8))*(L$3:L$8&gt;$AQ$3:$AQ$8))+ISBLANK(L$3:L$8))</f>
        <v>0</v>
      </c>
      <c r="M16" s="1"/>
      <c r="N16" s="1">
        <f>SUMPRODUCT((NOT(ISBLANK(N$3:N$8))*(N$3:N$8&gt;$AQ$3:$AQ$8))+ISBLANK(N$3:N$8))</f>
        <v>0</v>
      </c>
      <c r="O16" s="1"/>
      <c r="P16" s="1">
        <f>SUMPRODUCT((NOT(ISBLANK(P$3:P$8))*(P$3:P$8&gt;$AQ$3:$AQ$8))+ISBLANK(P$3:P$8))</f>
        <v>0</v>
      </c>
      <c r="Q16" s="1"/>
      <c r="R16" s="1">
        <f>SUMPRODUCT((NOT(ISBLANK(R$3:R$8))*(R$3:R$8&gt;$AQ$3:$AQ$8))+ISBLANK(R$3:R$8))</f>
        <v>0</v>
      </c>
      <c r="S16" s="1"/>
      <c r="T16" s="1">
        <f>SUMPRODUCT((NOT(ISBLANK(T$3:T$8))*(T$3:T$8&gt;$AQ$3:$AQ$8))+ISBLANK(T$3:T$8))</f>
        <v>0</v>
      </c>
      <c r="U16" s="1"/>
      <c r="V16" s="1">
        <f>SUMPRODUCT((NOT(ISBLANK(V$3:V$8))*(V$3:V$8&gt;$AQ$3:$AQ$8))+ISBLANK(V$3:V$8))</f>
        <v>0</v>
      </c>
      <c r="W16" s="1"/>
      <c r="X16" s="1">
        <f>SUMPRODUCT((NOT(ISBLANK(X$3:X$8))*(X$3:X$8&gt;$AQ$3:$AQ$8))+ISBLANK(X$3:X$8))</f>
        <v>0</v>
      </c>
      <c r="Y16" s="1"/>
      <c r="Z16" s="1">
        <f>SUMPRODUCT((NOT(ISBLANK(Z$3:Z$8))*(Z$3:Z$8&gt;$AQ$3:$AQ$8))+ISBLANK(Z$3:Z$8))</f>
        <v>0</v>
      </c>
      <c r="AA16" s="1"/>
      <c r="AB16" s="1">
        <f>SUMPRODUCT((NOT(ISBLANK(AB$3:AB$8))*(AB$3:AB$8&gt;$AQ$3:$AQ$8))+ISBLANK(AB$3:AB$8))</f>
        <v>0</v>
      </c>
      <c r="AC16" s="1"/>
      <c r="AD16" s="1">
        <f>SUMPRODUCT((NOT(ISBLANK(AD$3:AD$8))*(AD$3:AD$8&gt;$AQ$3:$AQ$8))+ISBLANK(AD$3:AD$8))</f>
        <v>0</v>
      </c>
      <c r="AE16" s="1"/>
      <c r="AF16" s="1">
        <f>SUMPRODUCT((NOT(ISBLANK(AF$3:AF$8))*(AF$3:AF$8&gt;$AQ$3:$AQ$8))+ISBLANK(AF$3:AF$8))</f>
        <v>0</v>
      </c>
      <c r="AG16" s="1"/>
      <c r="AH16" s="1">
        <f>SUMPRODUCT((NOT(ISBLANK(AH$3:AH$8))*(AH$3:AH$8&gt;$AQ$3:$AQ$8))+ISBLANK(AH$3:AH$8))</f>
        <v>0</v>
      </c>
      <c r="AI16" s="1"/>
      <c r="AJ16" s="1">
        <f>SUMPRODUCT((NOT(ISBLANK(AJ$3:AJ$8))*(AJ$3:AJ$8&gt;$AQ$3:$AQ$8))+ISBLANK(AJ$3:AJ$8))</f>
        <v>0</v>
      </c>
      <c r="AK16" s="1"/>
      <c r="AL16" s="1">
        <f>SUMPRODUCT((NOT(ISBLANK(AL$3:AL$8))*(AL$3:AL$8&gt;$AQ$3:$AQ$8))+ISBLANK(AL$3:AL$8))</f>
        <v>0</v>
      </c>
      <c r="AM16" s="1"/>
      <c r="AN16" s="1">
        <f>SUMPRODUCT((NOT(ISBLANK(AN$3:AN$8))*(AN$3:AN$8&gt;$AQ$3:$AQ$8))+ISBLANK(AN$3:AN$8))</f>
        <v>0</v>
      </c>
      <c r="AO16" s="1"/>
      <c r="AP16" s="1"/>
      <c r="AQ16" s="1"/>
      <c r="AR16" s="1"/>
    </row>
    <row r="17" spans="1:44">
      <c r="A17" s="1" t="s">
        <v>13</v>
      </c>
      <c r="B17" s="1">
        <f>SUMPRODUCT((NOT(ISBLANK(B$3:B$8))*(B$3:B$8=$AR$3:$AR$8))+ISBLANK(B$3:B$8))</f>
        <v>0</v>
      </c>
      <c r="C17" s="1"/>
      <c r="D17" s="1">
        <f>SUMPRODUCT((NOT(ISBLANK(D$3:D$8))*(D$3:D$8=$AR$3:$AR$8))+ISBLANK(D$3:D$8))</f>
        <v>0</v>
      </c>
      <c r="E17" s="1"/>
      <c r="F17" s="1">
        <f>SUMPRODUCT((NOT(ISBLANK(F$3:F$8))*(F$3:F$8=$AR$3:$AR$8))+ISBLANK(F$3:F$8))</f>
        <v>0</v>
      </c>
      <c r="G17" s="1"/>
      <c r="H17" s="1">
        <f>SUMPRODUCT((NOT(ISBLANK(H$3:H$8))*(H$3:H$8=$AR$3:$AR$8))+ISBLANK(H$3:H$8))</f>
        <v>0</v>
      </c>
      <c r="I17" s="1"/>
      <c r="J17" s="1">
        <f>SUMPRODUCT((NOT(ISBLANK(J$3:J$8))*(J$3:J$8=$AR$3:$AR$8))+ISBLANK(J$3:J$8))</f>
        <v>0</v>
      </c>
      <c r="K17" s="1"/>
      <c r="L17" s="1">
        <f>SUMPRODUCT((NOT(ISBLANK(L$3:L$8))*(L$3:L$8=$AR$3:$AR$8))+ISBLANK(L$3:L$8))</f>
        <v>0</v>
      </c>
      <c r="M17" s="1"/>
      <c r="N17" s="1">
        <f>SUMPRODUCT((NOT(ISBLANK(N$3:N$8))*(N$3:N$8=$AR$3:$AR$8))+ISBLANK(N$3:N$8))</f>
        <v>0</v>
      </c>
      <c r="O17" s="1"/>
      <c r="P17" s="1">
        <f>SUMPRODUCT((NOT(ISBLANK(P$3:P$8))*(P$3:P$8=$AR$3:$AR$8))+ISBLANK(P$3:P$8))</f>
        <v>0</v>
      </c>
      <c r="Q17" s="1"/>
      <c r="R17" s="1">
        <f>SUMPRODUCT((NOT(ISBLANK(R$3:R$8))*(R$3:R$8=$AR$3:$AR$8))+ISBLANK(R$3:R$8))</f>
        <v>0</v>
      </c>
      <c r="S17" s="1"/>
      <c r="T17" s="1">
        <f>SUMPRODUCT((NOT(ISBLANK(T$3:T$8))*(T$3:T$8=$AR$3:$AR$8))+ISBLANK(T$3:T$8))</f>
        <v>0</v>
      </c>
      <c r="U17" s="1"/>
      <c r="V17" s="1">
        <f>SUMPRODUCT((NOT(ISBLANK(V$3:V$8))*(V$3:V$8=$AR$3:$AR$8))+ISBLANK(V$3:V$8))</f>
        <v>0</v>
      </c>
      <c r="W17" s="1"/>
      <c r="X17" s="1">
        <f>SUMPRODUCT((NOT(ISBLANK(X$3:X$8))*(X$3:X$8=$AR$3:$AR$8))+ISBLANK(X$3:X$8))</f>
        <v>0</v>
      </c>
      <c r="Y17" s="1"/>
      <c r="Z17" s="1">
        <f>SUMPRODUCT((NOT(ISBLANK(Z$3:Z$8))*(Z$3:Z$8=$AR$3:$AR$8))+ISBLANK(Z$3:Z$8))</f>
        <v>0</v>
      </c>
      <c r="AA17" s="1"/>
      <c r="AB17" s="1">
        <f>SUMPRODUCT((NOT(ISBLANK(AB$3:AB$8))*(AB$3:AB$8=$AR$3:$AR$8))+ISBLANK(AB$3:AB$8))</f>
        <v>0</v>
      </c>
      <c r="AC17" s="1"/>
      <c r="AD17" s="1">
        <f>SUMPRODUCT((NOT(ISBLANK(AD$3:AD$8))*(AD$3:AD$8=$AR$3:$AR$8))+ISBLANK(AD$3:AD$8))</f>
        <v>0</v>
      </c>
      <c r="AE17" s="1"/>
      <c r="AF17" s="1">
        <f>SUMPRODUCT((NOT(ISBLANK(AF$3:AF$8))*(AF$3:AF$8=$AR$3:$AR$8))+ISBLANK(AF$3:AF$8))</f>
        <v>0</v>
      </c>
      <c r="AG17" s="1"/>
      <c r="AH17" s="1">
        <f>SUMPRODUCT((NOT(ISBLANK(AH$3:AH$8))*(AH$3:AH$8=$AR$3:$AR$8))+ISBLANK(AH$3:AH$8))</f>
        <v>0</v>
      </c>
      <c r="AI17" s="1"/>
      <c r="AJ17" s="1">
        <f>SUMPRODUCT((NOT(ISBLANK(AJ$3:AJ$8))*(AJ$3:AJ$8=$AR$3:$AR$8))+ISBLANK(AJ$3:AJ$8))</f>
        <v>0</v>
      </c>
      <c r="AK17" s="1"/>
      <c r="AL17" s="1">
        <f>SUMPRODUCT((NOT(ISBLANK(AL$3:AL$8))*(AL$3:AL$8=$AR$3:$AR$8))+ISBLANK(AL$3:AL$8))</f>
        <v>0</v>
      </c>
      <c r="AM17" s="1"/>
      <c r="AN17" s="1">
        <f>SUMPRODUCT((NOT(ISBLANK(AN$3:AN$8))*(AN$3:AN$8=$AR$3:$AR$8))+ISBLANK(AN$3:AN$8))</f>
        <v>0</v>
      </c>
      <c r="AO17" s="1"/>
      <c r="AP17" s="1"/>
      <c r="AQ17" s="1"/>
      <c r="AR17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3" width="20.28515625" customWidth="1"/>
    <col min="4" max="5" width="21.140625" customWidth="1"/>
    <col min="6" max="7" width="20.28515625" customWidth="1"/>
    <col min="8" max="9" width="21.140625" customWidth="1"/>
    <col min="10" max="11" width="20.28515625" customWidth="1"/>
    <col min="12" max="13" width="21.140625" customWidth="1"/>
    <col min="14" max="15" width="20.28515625" customWidth="1"/>
    <col min="16" max="17" width="21.140625" customWidth="1"/>
    <col min="18" max="19" width="20" customWidth="1"/>
    <col min="20" max="21" width="20.42578125" customWidth="1"/>
    <col min="22" max="23" width="21.28515625" customWidth="1"/>
    <col min="24" max="25" width="20" customWidth="1"/>
    <col min="26" max="27" width="20.42578125" customWidth="1"/>
    <col min="28" max="29" width="21.28515625" customWidth="1"/>
    <col min="30" max="31" width="20" customWidth="1"/>
    <col min="32" max="33" width="20.42578125" customWidth="1"/>
    <col min="34" max="35" width="21.28515625" customWidth="1"/>
    <col min="36" max="37" width="20" customWidth="1"/>
    <col min="38" max="39" width="20.42578125" customWidth="1"/>
    <col min="40" max="41" width="21.28515625" customWidth="1"/>
    <col min="42" max="44" width="11.42578125" customWidth="1"/>
  </cols>
  <sheetData>
    <row r="1" spans="1:44">
      <c r="A1" s="1"/>
      <c r="B1" s="1" t="s">
        <v>14</v>
      </c>
      <c r="C1" s="1"/>
      <c r="D1" s="1" t="s">
        <v>19</v>
      </c>
      <c r="E1" s="1"/>
      <c r="F1" s="1" t="s">
        <v>20</v>
      </c>
      <c r="G1" s="1"/>
      <c r="H1" s="1" t="s">
        <v>21</v>
      </c>
      <c r="I1" s="1"/>
      <c r="J1" s="1" t="s">
        <v>22</v>
      </c>
      <c r="K1" s="1"/>
      <c r="L1" s="1" t="s">
        <v>23</v>
      </c>
      <c r="M1" s="1"/>
      <c r="N1" s="1" t="s">
        <v>24</v>
      </c>
      <c r="O1" s="1"/>
      <c r="P1" s="1" t="s">
        <v>25</v>
      </c>
      <c r="Q1" s="1"/>
      <c r="R1" s="1" t="s">
        <v>26</v>
      </c>
      <c r="S1" s="1"/>
      <c r="T1" s="1" t="s">
        <v>28</v>
      </c>
      <c r="U1" s="1"/>
      <c r="V1" s="1" t="s">
        <v>29</v>
      </c>
      <c r="W1" s="1"/>
      <c r="X1" s="1" t="s">
        <v>30</v>
      </c>
      <c r="Y1" s="1"/>
      <c r="Z1" s="1" t="s">
        <v>31</v>
      </c>
      <c r="AA1" s="1"/>
      <c r="AB1" s="1" t="s">
        <v>32</v>
      </c>
      <c r="AC1" s="1"/>
      <c r="AD1" s="1" t="s">
        <v>33</v>
      </c>
      <c r="AE1" s="1"/>
      <c r="AF1" s="1" t="s">
        <v>34</v>
      </c>
      <c r="AG1" s="1"/>
      <c r="AH1" s="1" t="s">
        <v>35</v>
      </c>
      <c r="AI1" s="1"/>
      <c r="AJ1" s="1" t="s">
        <v>36</v>
      </c>
      <c r="AK1" s="1"/>
      <c r="AL1" s="1" t="s">
        <v>37</v>
      </c>
      <c r="AM1" s="1"/>
      <c r="AN1" s="1" t="s">
        <v>38</v>
      </c>
      <c r="AO1" s="1"/>
      <c r="AP1" s="1" t="s">
        <v>39</v>
      </c>
      <c r="AQ1" s="1" t="s">
        <v>40</v>
      </c>
      <c r="AR1" s="1" t="s">
        <v>41</v>
      </c>
    </row>
    <row r="2" spans="1:44">
      <c r="A2" s="1"/>
      <c r="B2" s="1" t="s">
        <v>15</v>
      </c>
      <c r="C2" s="1" t="s">
        <v>16</v>
      </c>
      <c r="D2" s="1" t="s">
        <v>15</v>
      </c>
      <c r="E2" s="1" t="s">
        <v>16</v>
      </c>
      <c r="F2" s="1" t="s">
        <v>15</v>
      </c>
      <c r="G2" s="1" t="s">
        <v>16</v>
      </c>
      <c r="H2" s="1" t="s">
        <v>15</v>
      </c>
      <c r="I2" s="1" t="s">
        <v>16</v>
      </c>
      <c r="J2" s="1" t="s">
        <v>15</v>
      </c>
      <c r="K2" s="1" t="s">
        <v>16</v>
      </c>
      <c r="L2" s="1" t="s">
        <v>15</v>
      </c>
      <c r="M2" s="1" t="s">
        <v>16</v>
      </c>
      <c r="N2" s="1" t="s">
        <v>15</v>
      </c>
      <c r="O2" s="1" t="s">
        <v>16</v>
      </c>
      <c r="P2" s="1" t="s">
        <v>15</v>
      </c>
      <c r="Q2" s="1" t="s">
        <v>16</v>
      </c>
      <c r="R2" s="1" t="s">
        <v>15</v>
      </c>
      <c r="S2" s="1" t="s">
        <v>16</v>
      </c>
      <c r="T2" s="1" t="s">
        <v>15</v>
      </c>
      <c r="U2" s="1" t="s">
        <v>16</v>
      </c>
      <c r="V2" s="1" t="s">
        <v>15</v>
      </c>
      <c r="W2" s="1" t="s">
        <v>16</v>
      </c>
      <c r="X2" s="1" t="s">
        <v>15</v>
      </c>
      <c r="Y2" s="1" t="s">
        <v>16</v>
      </c>
      <c r="Z2" s="1" t="s">
        <v>15</v>
      </c>
      <c r="AA2" s="1" t="s">
        <v>16</v>
      </c>
      <c r="AB2" s="1" t="s">
        <v>15</v>
      </c>
      <c r="AC2" s="1" t="s">
        <v>16</v>
      </c>
      <c r="AD2" s="1" t="s">
        <v>15</v>
      </c>
      <c r="AE2" s="1" t="s">
        <v>16</v>
      </c>
      <c r="AF2" s="1" t="s">
        <v>15</v>
      </c>
      <c r="AG2" s="1" t="s">
        <v>16</v>
      </c>
      <c r="AH2" s="1" t="s">
        <v>15</v>
      </c>
      <c r="AI2" s="1" t="s">
        <v>16</v>
      </c>
      <c r="AJ2" s="1" t="s">
        <v>15</v>
      </c>
      <c r="AK2" s="1" t="s">
        <v>16</v>
      </c>
      <c r="AL2" s="1" t="s">
        <v>15</v>
      </c>
      <c r="AM2" s="1" t="s">
        <v>16</v>
      </c>
      <c r="AN2" s="1" t="s">
        <v>15</v>
      </c>
      <c r="AO2" s="1" t="s">
        <v>16</v>
      </c>
      <c r="AP2" s="1" t="s">
        <v>15</v>
      </c>
      <c r="AQ2" s="1" t="s">
        <v>15</v>
      </c>
      <c r="AR2" s="1" t="s">
        <v>15</v>
      </c>
    </row>
    <row r="3" spans="1:44">
      <c r="A3" s="1" t="s">
        <v>43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f>AVERAGE(Instances!R3:Instances!R3)</f>
        <v>0</v>
      </c>
      <c r="S3" s="1"/>
      <c r="T3" s="1">
        <f>AVERAGE(Instances!T3:Instances!T3)</f>
        <v>0</v>
      </c>
      <c r="U3" s="1"/>
      <c r="V3" s="1">
        <f>AVERAGE(Instances!V3:Instances!V3)</f>
        <v>0</v>
      </c>
      <c r="W3" s="1"/>
      <c r="X3" s="1">
        <f>AVERAGE(Instances!X3:Instances!X3)</f>
        <v>0</v>
      </c>
      <c r="Y3" s="1"/>
      <c r="Z3" s="1">
        <f>AVERAGE(Instances!Z3:Instances!Z3)</f>
        <v>0</v>
      </c>
      <c r="AA3" s="1"/>
      <c r="AB3" s="1">
        <f>AVERAGE(Instances!AB3:Instances!AB3)</f>
        <v>0</v>
      </c>
      <c r="AC3" s="1"/>
      <c r="AD3" s="1">
        <f>AVERAGE(Instances!AD3:Instances!AD3)</f>
        <v>0</v>
      </c>
      <c r="AE3" s="1"/>
      <c r="AF3" s="1">
        <f>AVERAGE(Instances!AF3:Instances!AF3)</f>
        <v>0</v>
      </c>
      <c r="AG3" s="1"/>
      <c r="AH3" s="1">
        <f>AVERAGE(Instances!AH3:Instances!AH3)</f>
        <v>0</v>
      </c>
      <c r="AI3" s="1"/>
      <c r="AJ3" s="1">
        <f>AVERAGE(Instances!AJ3:Instances!AJ3)</f>
        <v>0</v>
      </c>
      <c r="AK3" s="1"/>
      <c r="AL3" s="1">
        <f>AVERAGE(Instances!AL3:Instances!AL3)</f>
        <v>0</v>
      </c>
      <c r="AM3" s="1"/>
      <c r="AN3" s="1">
        <f>AVERAGE(Instances!AN3:Instances!AN3)</f>
        <v>0</v>
      </c>
      <c r="AO3" s="1"/>
      <c r="AP3" s="1">
        <f>MIN($B3,$D3,$F3,$H3,$J3,$L3,$N3,$P3,$R3,$T3,$V3,$X3,$Z3,$AB3,$AD3,$AF3,$AH3,$AJ3,$AL3,$AN3)</f>
        <v>0</v>
      </c>
      <c r="AQ3" s="1">
        <f>MEDIAN($B3,$D3,$F3,$H3,$J3,$L3,$N3,$P3,$R3,$T3,$V3,$X3,$Z3,$AB3,$AD3,$AF3,$AH3,$AJ3,$AL3,$AN3)</f>
        <v>0</v>
      </c>
      <c r="AR3" s="1">
        <f>MAX($B3,$D3,$F3,$H3,$J3,$L3,$N3,$P3,$R3,$T3,$V3,$X3,$Z3,$AB3,$AD3,$AF3,$AH3,$AJ3,$AL3,$AN3)</f>
        <v>0</v>
      </c>
    </row>
    <row r="4" spans="1:44">
      <c r="A4" s="1" t="s">
        <v>43</v>
      </c>
      <c r="B4" s="1">
        <f>AVERAGE(Instances!B4:Instances!B8)</f>
        <v>0</v>
      </c>
      <c r="C4" s="1"/>
      <c r="D4" s="1">
        <f>AVERAGE(Instances!D4:Instances!D8)</f>
        <v>0</v>
      </c>
      <c r="E4" s="1"/>
      <c r="F4" s="1">
        <f>AVERAGE(Instances!F4:Instances!F8)</f>
        <v>0</v>
      </c>
      <c r="G4" s="1"/>
      <c r="H4" s="1">
        <f>AVERAGE(Instances!H4:Instances!H8)</f>
        <v>0</v>
      </c>
      <c r="I4" s="1"/>
      <c r="J4" s="1">
        <f>AVERAGE(Instances!J4:Instances!J8)</f>
        <v>0</v>
      </c>
      <c r="K4" s="1"/>
      <c r="L4" s="1">
        <f>AVERAGE(Instances!L4:Instances!L8)</f>
        <v>0</v>
      </c>
      <c r="M4" s="1"/>
      <c r="N4" s="1">
        <f>AVERAGE(Instances!N4:Instances!N8)</f>
        <v>0</v>
      </c>
      <c r="O4" s="1"/>
      <c r="P4" s="1">
        <f>AVERAGE(Instances!P4:Instances!P8)</f>
        <v>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>
        <f>MIN($B4,$D4,$F4,$H4,$J4,$L4,$N4,$P4,$R4,$T4,$V4,$X4,$Z4,$AB4,$AD4,$AF4,$AH4,$AJ4,$AL4,$AN4)</f>
        <v>0</v>
      </c>
      <c r="AQ4" s="1">
        <f>MEDIAN($B4,$D4,$F4,$H4,$J4,$L4,$N4,$P4,$R4,$T4,$V4,$X4,$Z4,$AB4,$AD4,$AF4,$AH4,$AJ4,$AL4,$AN4)</f>
        <v>0</v>
      </c>
      <c r="AR4" s="1">
        <f>MAX($B4,$D4,$F4,$H4,$J4,$L4,$N4,$P4,$R4,$T4,$V4,$X4,$Z4,$AB4,$AD4,$AF4,$AH4,$AJ4,$AL4,$AN4)</f>
        <v>0</v>
      </c>
    </row>
    <row r="5" spans="1:4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>
      <c r="A6" s="1" t="s">
        <v>6</v>
      </c>
      <c r="B6" s="1">
        <f>SUM(B$3:B$4)</f>
        <v>0</v>
      </c>
      <c r="C6" s="1"/>
      <c r="D6" s="1">
        <f>SUM(D$3:D$4)</f>
        <v>0</v>
      </c>
      <c r="E6" s="1"/>
      <c r="F6" s="1">
        <f>SUM(F$3:F$4)</f>
        <v>0</v>
      </c>
      <c r="G6" s="1"/>
      <c r="H6" s="1">
        <f>SUM(H$3:H$4)</f>
        <v>0</v>
      </c>
      <c r="I6" s="1"/>
      <c r="J6" s="1">
        <f>SUM(J$3:J$4)</f>
        <v>0</v>
      </c>
      <c r="K6" s="1"/>
      <c r="L6" s="1">
        <f>SUM(L$3:L$4)</f>
        <v>0</v>
      </c>
      <c r="M6" s="1"/>
      <c r="N6" s="1">
        <f>SUM(N$3:N$4)</f>
        <v>0</v>
      </c>
      <c r="O6" s="1"/>
      <c r="P6" s="1">
        <f>SUM(P$3:P$4)</f>
        <v>0</v>
      </c>
      <c r="Q6" s="1"/>
      <c r="R6" s="1">
        <f>SUM(R$3:R$4)</f>
        <v>0</v>
      </c>
      <c r="S6" s="1"/>
      <c r="T6" s="1">
        <f>SUM(T$3:T$4)</f>
        <v>0</v>
      </c>
      <c r="U6" s="1"/>
      <c r="V6" s="1">
        <f>SUM(V$3:V$4)</f>
        <v>0</v>
      </c>
      <c r="W6" s="1"/>
      <c r="X6" s="1">
        <f>SUM(X$3:X$4)</f>
        <v>0</v>
      </c>
      <c r="Y6" s="1"/>
      <c r="Z6" s="1">
        <f>SUM(Z$3:Z$4)</f>
        <v>0</v>
      </c>
      <c r="AA6" s="1"/>
      <c r="AB6" s="1">
        <f>SUM(AB$3:AB$4)</f>
        <v>0</v>
      </c>
      <c r="AC6" s="1"/>
      <c r="AD6" s="1">
        <f>SUM(AD$3:AD$4)</f>
        <v>0</v>
      </c>
      <c r="AE6" s="1"/>
      <c r="AF6" s="1">
        <f>SUM(AF$3:AF$4)</f>
        <v>0</v>
      </c>
      <c r="AG6" s="1"/>
      <c r="AH6" s="1">
        <f>SUM(AH$3:AH$4)</f>
        <v>0</v>
      </c>
      <c r="AI6" s="1"/>
      <c r="AJ6" s="1">
        <f>SUM(AJ$3:AJ$4)</f>
        <v>0</v>
      </c>
      <c r="AK6" s="1"/>
      <c r="AL6" s="1">
        <f>SUM(AL$3:AL$4)</f>
        <v>0</v>
      </c>
      <c r="AM6" s="1"/>
      <c r="AN6" s="1">
        <f>SUM(AN$3:AN$4)</f>
        <v>0</v>
      </c>
      <c r="AO6" s="1"/>
      <c r="AP6" s="1">
        <f>SUM(AP$3:AP$4)</f>
        <v>0</v>
      </c>
      <c r="AQ6" s="1">
        <f>SUM(AQ$3:AQ$4)</f>
        <v>0</v>
      </c>
      <c r="AR6" s="1">
        <f>SUM(AR$3:AR$4)</f>
        <v>0</v>
      </c>
    </row>
    <row r="7" spans="1:44">
      <c r="A7" s="1" t="s">
        <v>7</v>
      </c>
      <c r="B7" s="1">
        <f>AVERAGE(B$3:B$4)</f>
        <v>0</v>
      </c>
      <c r="C7" s="1"/>
      <c r="D7" s="1">
        <f>AVERAGE(D$3:D$4)</f>
        <v>0</v>
      </c>
      <c r="E7" s="1"/>
      <c r="F7" s="1">
        <f>AVERAGE(F$3:F$4)</f>
        <v>0</v>
      </c>
      <c r="G7" s="1"/>
      <c r="H7" s="1">
        <f>AVERAGE(H$3:H$4)</f>
        <v>0</v>
      </c>
      <c r="I7" s="1"/>
      <c r="J7" s="1">
        <f>AVERAGE(J$3:J$4)</f>
        <v>0</v>
      </c>
      <c r="K7" s="1"/>
      <c r="L7" s="1">
        <f>AVERAGE(L$3:L$4)</f>
        <v>0</v>
      </c>
      <c r="M7" s="1"/>
      <c r="N7" s="1">
        <f>AVERAGE(N$3:N$4)</f>
        <v>0</v>
      </c>
      <c r="O7" s="1"/>
      <c r="P7" s="1">
        <f>AVERAGE(P$3:P$4)</f>
        <v>0</v>
      </c>
      <c r="Q7" s="1"/>
      <c r="R7" s="1">
        <f>AVERAGE(R$3:R$4)</f>
        <v>0</v>
      </c>
      <c r="S7" s="1"/>
      <c r="T7" s="1">
        <f>AVERAGE(T$3:T$4)</f>
        <v>0</v>
      </c>
      <c r="U7" s="1"/>
      <c r="V7" s="1">
        <f>AVERAGE(V$3:V$4)</f>
        <v>0</v>
      </c>
      <c r="W7" s="1"/>
      <c r="X7" s="1">
        <f>AVERAGE(X$3:X$4)</f>
        <v>0</v>
      </c>
      <c r="Y7" s="1"/>
      <c r="Z7" s="1">
        <f>AVERAGE(Z$3:Z$4)</f>
        <v>0</v>
      </c>
      <c r="AA7" s="1"/>
      <c r="AB7" s="1">
        <f>AVERAGE(AB$3:AB$4)</f>
        <v>0</v>
      </c>
      <c r="AC7" s="1"/>
      <c r="AD7" s="1">
        <f>AVERAGE(AD$3:AD$4)</f>
        <v>0</v>
      </c>
      <c r="AE7" s="1"/>
      <c r="AF7" s="1">
        <f>AVERAGE(AF$3:AF$4)</f>
        <v>0</v>
      </c>
      <c r="AG7" s="1"/>
      <c r="AH7" s="1">
        <f>AVERAGE(AH$3:AH$4)</f>
        <v>0</v>
      </c>
      <c r="AI7" s="1"/>
      <c r="AJ7" s="1">
        <f>AVERAGE(AJ$3:AJ$4)</f>
        <v>0</v>
      </c>
      <c r="AK7" s="1"/>
      <c r="AL7" s="1">
        <f>AVERAGE(AL$3:AL$4)</f>
        <v>0</v>
      </c>
      <c r="AM7" s="1"/>
      <c r="AN7" s="1">
        <f>AVERAGE(AN$3:AN$4)</f>
        <v>0</v>
      </c>
      <c r="AO7" s="1"/>
      <c r="AP7" s="1">
        <f>AVERAGE(AP$3:AP$4)</f>
        <v>0</v>
      </c>
      <c r="AQ7" s="1">
        <f>AVERAGE(AQ$3:AQ$4)</f>
        <v>0</v>
      </c>
      <c r="AR7" s="1">
        <f>AVERAGE(AR$3:AR$4)</f>
        <v>0</v>
      </c>
    </row>
    <row r="8" spans="1:44">
      <c r="A8" s="1" t="s">
        <v>8</v>
      </c>
      <c r="B8" s="1">
        <f>STDEV(B$3:B$4)</f>
        <v>0</v>
      </c>
      <c r="C8" s="1"/>
      <c r="D8" s="1">
        <f>STDEV(D$3:D$4)</f>
        <v>0</v>
      </c>
      <c r="E8" s="1"/>
      <c r="F8" s="1">
        <f>STDEV(F$3:F$4)</f>
        <v>0</v>
      </c>
      <c r="G8" s="1"/>
      <c r="H8" s="1">
        <f>STDEV(H$3:H$4)</f>
        <v>0</v>
      </c>
      <c r="I8" s="1"/>
      <c r="J8" s="1">
        <f>STDEV(J$3:J$4)</f>
        <v>0</v>
      </c>
      <c r="K8" s="1"/>
      <c r="L8" s="1">
        <f>STDEV(L$3:L$4)</f>
        <v>0</v>
      </c>
      <c r="M8" s="1"/>
      <c r="N8" s="1">
        <f>STDEV(N$3:N$4)</f>
        <v>0</v>
      </c>
      <c r="O8" s="1"/>
      <c r="P8" s="1">
        <f>STDEV(P$3:P$4)</f>
        <v>0</v>
      </c>
      <c r="Q8" s="1"/>
      <c r="R8" s="1">
        <f>STDEV(R$3:R$4)</f>
        <v>0</v>
      </c>
      <c r="S8" s="1"/>
      <c r="T8" s="1">
        <f>STDEV(T$3:T$4)</f>
        <v>0</v>
      </c>
      <c r="U8" s="1"/>
      <c r="V8" s="1">
        <f>STDEV(V$3:V$4)</f>
        <v>0</v>
      </c>
      <c r="W8" s="1"/>
      <c r="X8" s="1">
        <f>STDEV(X$3:X$4)</f>
        <v>0</v>
      </c>
      <c r="Y8" s="1"/>
      <c r="Z8" s="1">
        <f>STDEV(Z$3:Z$4)</f>
        <v>0</v>
      </c>
      <c r="AA8" s="1"/>
      <c r="AB8" s="1">
        <f>STDEV(AB$3:AB$4)</f>
        <v>0</v>
      </c>
      <c r="AC8" s="1"/>
      <c r="AD8" s="1">
        <f>STDEV(AD$3:AD$4)</f>
        <v>0</v>
      </c>
      <c r="AE8" s="1"/>
      <c r="AF8" s="1">
        <f>STDEV(AF$3:AF$4)</f>
        <v>0</v>
      </c>
      <c r="AG8" s="1"/>
      <c r="AH8" s="1">
        <f>STDEV(AH$3:AH$4)</f>
        <v>0</v>
      </c>
      <c r="AI8" s="1"/>
      <c r="AJ8" s="1">
        <f>STDEV(AJ$3:AJ$4)</f>
        <v>0</v>
      </c>
      <c r="AK8" s="1"/>
      <c r="AL8" s="1">
        <f>STDEV(AL$3:AL$4)</f>
        <v>0</v>
      </c>
      <c r="AM8" s="1"/>
      <c r="AN8" s="1">
        <f>STDEV(AN$3:AN$4)</f>
        <v>0</v>
      </c>
      <c r="AO8" s="1"/>
      <c r="AP8" s="1">
        <f>STDEV(AP$3:AP$4)</f>
        <v>0</v>
      </c>
      <c r="AQ8" s="1">
        <f>STDEV(AQ$3:AQ$4)</f>
        <v>0</v>
      </c>
      <c r="AR8" s="1">
        <f>STDEV(AR$3:AR$4)</f>
        <v>0</v>
      </c>
    </row>
    <row r="9" spans="1:44">
      <c r="A9" s="1" t="s">
        <v>9</v>
      </c>
      <c r="B9" s="1">
        <f>SUMPRODUCT(--(B$3:B$4-$AP$3:$AP$4)^2)^0.5</f>
        <v>0</v>
      </c>
      <c r="C9" s="1"/>
      <c r="D9" s="1">
        <f>SUMPRODUCT(--(D$3:D$4-$AP$3:$AP$4)^2)^0.5</f>
        <v>0</v>
      </c>
      <c r="E9" s="1"/>
      <c r="F9" s="1">
        <f>SUMPRODUCT(--(F$3:F$4-$AP$3:$AP$4)^2)^0.5</f>
        <v>0</v>
      </c>
      <c r="G9" s="1"/>
      <c r="H9" s="1">
        <f>SUMPRODUCT(--(H$3:H$4-$AP$3:$AP$4)^2)^0.5</f>
        <v>0</v>
      </c>
      <c r="I9" s="1"/>
      <c r="J9" s="1">
        <f>SUMPRODUCT(--(J$3:J$4-$AP$3:$AP$4)^2)^0.5</f>
        <v>0</v>
      </c>
      <c r="K9" s="1"/>
      <c r="L9" s="1">
        <f>SUMPRODUCT(--(L$3:L$4-$AP$3:$AP$4)^2)^0.5</f>
        <v>0</v>
      </c>
      <c r="M9" s="1"/>
      <c r="N9" s="1">
        <f>SUMPRODUCT(--(N$3:N$4-$AP$3:$AP$4)^2)^0.5</f>
        <v>0</v>
      </c>
      <c r="O9" s="1"/>
      <c r="P9" s="1">
        <f>SUMPRODUCT(--(P$3:P$4-$AP$3:$AP$4)^2)^0.5</f>
        <v>0</v>
      </c>
      <c r="Q9" s="1"/>
      <c r="R9" s="1">
        <f>SUMPRODUCT(--(R$3:R$4-$AP$3:$AP$4)^2)^0.5</f>
        <v>0</v>
      </c>
      <c r="S9" s="1"/>
      <c r="T9" s="1">
        <f>SUMPRODUCT(--(T$3:T$4-$AP$3:$AP$4)^2)^0.5</f>
        <v>0</v>
      </c>
      <c r="U9" s="1"/>
      <c r="V9" s="1">
        <f>SUMPRODUCT(--(V$3:V$4-$AP$3:$AP$4)^2)^0.5</f>
        <v>0</v>
      </c>
      <c r="W9" s="1"/>
      <c r="X9" s="1">
        <f>SUMPRODUCT(--(X$3:X$4-$AP$3:$AP$4)^2)^0.5</f>
        <v>0</v>
      </c>
      <c r="Y9" s="1"/>
      <c r="Z9" s="1">
        <f>SUMPRODUCT(--(Z$3:Z$4-$AP$3:$AP$4)^2)^0.5</f>
        <v>0</v>
      </c>
      <c r="AA9" s="1"/>
      <c r="AB9" s="1">
        <f>SUMPRODUCT(--(AB$3:AB$4-$AP$3:$AP$4)^2)^0.5</f>
        <v>0</v>
      </c>
      <c r="AC9" s="1"/>
      <c r="AD9" s="1">
        <f>SUMPRODUCT(--(AD$3:AD$4-$AP$3:$AP$4)^2)^0.5</f>
        <v>0</v>
      </c>
      <c r="AE9" s="1"/>
      <c r="AF9" s="1">
        <f>SUMPRODUCT(--(AF$3:AF$4-$AP$3:$AP$4)^2)^0.5</f>
        <v>0</v>
      </c>
      <c r="AG9" s="1"/>
      <c r="AH9" s="1">
        <f>SUMPRODUCT(--(AH$3:AH$4-$AP$3:$AP$4)^2)^0.5</f>
        <v>0</v>
      </c>
      <c r="AI9" s="1"/>
      <c r="AJ9" s="1">
        <f>SUMPRODUCT(--(AJ$3:AJ$4-$AP$3:$AP$4)^2)^0.5</f>
        <v>0</v>
      </c>
      <c r="AK9" s="1"/>
      <c r="AL9" s="1">
        <f>SUMPRODUCT(--(AL$3:AL$4-$AP$3:$AP$4)^2)^0.5</f>
        <v>0</v>
      </c>
      <c r="AM9" s="1"/>
      <c r="AN9" s="1">
        <f>SUMPRODUCT(--(AN$3:AN$4-$AP$3:$AP$4)^2)^0.5</f>
        <v>0</v>
      </c>
      <c r="AO9" s="1"/>
      <c r="AP9" s="1"/>
      <c r="AQ9" s="1"/>
      <c r="AR9" s="1"/>
    </row>
    <row r="10" spans="1:44">
      <c r="A10" s="1" t="s">
        <v>10</v>
      </c>
      <c r="B10" s="1">
        <f>SUMPRODUCT(NOT(ISBLANK(B$3:B$4))*(B$3:B$4=$AP$3:$AP$4))</f>
        <v>0</v>
      </c>
      <c r="C10" s="1"/>
      <c r="D10" s="1">
        <f>SUMPRODUCT(NOT(ISBLANK(D$3:D$4))*(D$3:D$4=$AP$3:$AP$4))</f>
        <v>0</v>
      </c>
      <c r="E10" s="1"/>
      <c r="F10" s="1">
        <f>SUMPRODUCT(NOT(ISBLANK(F$3:F$4))*(F$3:F$4=$AP$3:$AP$4))</f>
        <v>0</v>
      </c>
      <c r="G10" s="1"/>
      <c r="H10" s="1">
        <f>SUMPRODUCT(NOT(ISBLANK(H$3:H$4))*(H$3:H$4=$AP$3:$AP$4))</f>
        <v>0</v>
      </c>
      <c r="I10" s="1"/>
      <c r="J10" s="1">
        <f>SUMPRODUCT(NOT(ISBLANK(J$3:J$4))*(J$3:J$4=$AP$3:$AP$4))</f>
        <v>0</v>
      </c>
      <c r="K10" s="1"/>
      <c r="L10" s="1">
        <f>SUMPRODUCT(NOT(ISBLANK(L$3:L$4))*(L$3:L$4=$AP$3:$AP$4))</f>
        <v>0</v>
      </c>
      <c r="M10" s="1"/>
      <c r="N10" s="1">
        <f>SUMPRODUCT(NOT(ISBLANK(N$3:N$4))*(N$3:N$4=$AP$3:$AP$4))</f>
        <v>0</v>
      </c>
      <c r="O10" s="1"/>
      <c r="P10" s="1">
        <f>SUMPRODUCT(NOT(ISBLANK(P$3:P$4))*(P$3:P$4=$AP$3:$AP$4))</f>
        <v>0</v>
      </c>
      <c r="Q10" s="1"/>
      <c r="R10" s="1">
        <f>SUMPRODUCT(NOT(ISBLANK(R$3:R$4))*(R$3:R$4=$AP$3:$AP$4))</f>
        <v>0</v>
      </c>
      <c r="S10" s="1"/>
      <c r="T10" s="1">
        <f>SUMPRODUCT(NOT(ISBLANK(T$3:T$4))*(T$3:T$4=$AP$3:$AP$4))</f>
        <v>0</v>
      </c>
      <c r="U10" s="1"/>
      <c r="V10" s="1">
        <f>SUMPRODUCT(NOT(ISBLANK(V$3:V$4))*(V$3:V$4=$AP$3:$AP$4))</f>
        <v>0</v>
      </c>
      <c r="W10" s="1"/>
      <c r="X10" s="1">
        <f>SUMPRODUCT(NOT(ISBLANK(X$3:X$4))*(X$3:X$4=$AP$3:$AP$4))</f>
        <v>0</v>
      </c>
      <c r="Y10" s="1"/>
      <c r="Z10" s="1">
        <f>SUMPRODUCT(NOT(ISBLANK(Z$3:Z$4))*(Z$3:Z$4=$AP$3:$AP$4))</f>
        <v>0</v>
      </c>
      <c r="AA10" s="1"/>
      <c r="AB10" s="1">
        <f>SUMPRODUCT(NOT(ISBLANK(AB$3:AB$4))*(AB$3:AB$4=$AP$3:$AP$4))</f>
        <v>0</v>
      </c>
      <c r="AC10" s="1"/>
      <c r="AD10" s="1">
        <f>SUMPRODUCT(NOT(ISBLANK(AD$3:AD$4))*(AD$3:AD$4=$AP$3:$AP$4))</f>
        <v>0</v>
      </c>
      <c r="AE10" s="1"/>
      <c r="AF10" s="1">
        <f>SUMPRODUCT(NOT(ISBLANK(AF$3:AF$4))*(AF$3:AF$4=$AP$3:$AP$4))</f>
        <v>0</v>
      </c>
      <c r="AG10" s="1"/>
      <c r="AH10" s="1">
        <f>SUMPRODUCT(NOT(ISBLANK(AH$3:AH$4))*(AH$3:AH$4=$AP$3:$AP$4))</f>
        <v>0</v>
      </c>
      <c r="AI10" s="1"/>
      <c r="AJ10" s="1">
        <f>SUMPRODUCT(NOT(ISBLANK(AJ$3:AJ$4))*(AJ$3:AJ$4=$AP$3:$AP$4))</f>
        <v>0</v>
      </c>
      <c r="AK10" s="1"/>
      <c r="AL10" s="1">
        <f>SUMPRODUCT(NOT(ISBLANK(AL$3:AL$4))*(AL$3:AL$4=$AP$3:$AP$4))</f>
        <v>0</v>
      </c>
      <c r="AM10" s="1"/>
      <c r="AN10" s="1">
        <f>SUMPRODUCT(NOT(ISBLANK(AN$3:AN$4))*(AN$3:AN$4=$AP$3:$AP$4))</f>
        <v>0</v>
      </c>
      <c r="AO10" s="1"/>
      <c r="AP10" s="1"/>
      <c r="AQ10" s="1"/>
      <c r="AR10" s="1"/>
    </row>
    <row r="11" spans="1:44">
      <c r="A11" s="1" t="s">
        <v>11</v>
      </c>
      <c r="B11" s="1">
        <f>SUMPRODUCT(NOT(ISBLANK(B$3:B$4))*(B$3:B$4&lt;$AQ$3:$AQ$4))</f>
        <v>0</v>
      </c>
      <c r="C11" s="1"/>
      <c r="D11" s="1">
        <f>SUMPRODUCT(NOT(ISBLANK(D$3:D$4))*(D$3:D$4&lt;$AQ$3:$AQ$4))</f>
        <v>0</v>
      </c>
      <c r="E11" s="1"/>
      <c r="F11" s="1">
        <f>SUMPRODUCT(NOT(ISBLANK(F$3:F$4))*(F$3:F$4&lt;$AQ$3:$AQ$4))</f>
        <v>0</v>
      </c>
      <c r="G11" s="1"/>
      <c r="H11" s="1">
        <f>SUMPRODUCT(NOT(ISBLANK(H$3:H$4))*(H$3:H$4&lt;$AQ$3:$AQ$4))</f>
        <v>0</v>
      </c>
      <c r="I11" s="1"/>
      <c r="J11" s="1">
        <f>SUMPRODUCT(NOT(ISBLANK(J$3:J$4))*(J$3:J$4&lt;$AQ$3:$AQ$4))</f>
        <v>0</v>
      </c>
      <c r="K11" s="1"/>
      <c r="L11" s="1">
        <f>SUMPRODUCT(NOT(ISBLANK(L$3:L$4))*(L$3:L$4&lt;$AQ$3:$AQ$4))</f>
        <v>0</v>
      </c>
      <c r="M11" s="1"/>
      <c r="N11" s="1">
        <f>SUMPRODUCT(NOT(ISBLANK(N$3:N$4))*(N$3:N$4&lt;$AQ$3:$AQ$4))</f>
        <v>0</v>
      </c>
      <c r="O11" s="1"/>
      <c r="P11" s="1">
        <f>SUMPRODUCT(NOT(ISBLANK(P$3:P$4))*(P$3:P$4&lt;$AQ$3:$AQ$4))</f>
        <v>0</v>
      </c>
      <c r="Q11" s="1"/>
      <c r="R11" s="1">
        <f>SUMPRODUCT(NOT(ISBLANK(R$3:R$4))*(R$3:R$4&lt;$AQ$3:$AQ$4))</f>
        <v>0</v>
      </c>
      <c r="S11" s="1"/>
      <c r="T11" s="1">
        <f>SUMPRODUCT(NOT(ISBLANK(T$3:T$4))*(T$3:T$4&lt;$AQ$3:$AQ$4))</f>
        <v>0</v>
      </c>
      <c r="U11" s="1"/>
      <c r="V11" s="1">
        <f>SUMPRODUCT(NOT(ISBLANK(V$3:V$4))*(V$3:V$4&lt;$AQ$3:$AQ$4))</f>
        <v>0</v>
      </c>
      <c r="W11" s="1"/>
      <c r="X11" s="1">
        <f>SUMPRODUCT(NOT(ISBLANK(X$3:X$4))*(X$3:X$4&lt;$AQ$3:$AQ$4))</f>
        <v>0</v>
      </c>
      <c r="Y11" s="1"/>
      <c r="Z11" s="1">
        <f>SUMPRODUCT(NOT(ISBLANK(Z$3:Z$4))*(Z$3:Z$4&lt;$AQ$3:$AQ$4))</f>
        <v>0</v>
      </c>
      <c r="AA11" s="1"/>
      <c r="AB11" s="1">
        <f>SUMPRODUCT(NOT(ISBLANK(AB$3:AB$4))*(AB$3:AB$4&lt;$AQ$3:$AQ$4))</f>
        <v>0</v>
      </c>
      <c r="AC11" s="1"/>
      <c r="AD11" s="1">
        <f>SUMPRODUCT(NOT(ISBLANK(AD$3:AD$4))*(AD$3:AD$4&lt;$AQ$3:$AQ$4))</f>
        <v>0</v>
      </c>
      <c r="AE11" s="1"/>
      <c r="AF11" s="1">
        <f>SUMPRODUCT(NOT(ISBLANK(AF$3:AF$4))*(AF$3:AF$4&lt;$AQ$3:$AQ$4))</f>
        <v>0</v>
      </c>
      <c r="AG11" s="1"/>
      <c r="AH11" s="1">
        <f>SUMPRODUCT(NOT(ISBLANK(AH$3:AH$4))*(AH$3:AH$4&lt;$AQ$3:$AQ$4))</f>
        <v>0</v>
      </c>
      <c r="AI11" s="1"/>
      <c r="AJ11" s="1">
        <f>SUMPRODUCT(NOT(ISBLANK(AJ$3:AJ$4))*(AJ$3:AJ$4&lt;$AQ$3:$AQ$4))</f>
        <v>0</v>
      </c>
      <c r="AK11" s="1"/>
      <c r="AL11" s="1">
        <f>SUMPRODUCT(NOT(ISBLANK(AL$3:AL$4))*(AL$3:AL$4&lt;$AQ$3:$AQ$4))</f>
        <v>0</v>
      </c>
      <c r="AM11" s="1"/>
      <c r="AN11" s="1">
        <f>SUMPRODUCT(NOT(ISBLANK(AN$3:AN$4))*(AN$3:AN$4&lt;$AQ$3:$AQ$4))</f>
        <v>0</v>
      </c>
      <c r="AO11" s="1"/>
      <c r="AP11" s="1"/>
      <c r="AQ11" s="1"/>
      <c r="AR11" s="1"/>
    </row>
    <row r="12" spans="1:44">
      <c r="A12" s="1" t="s">
        <v>12</v>
      </c>
      <c r="B12" s="1">
        <f>SUMPRODUCT((NOT(ISBLANK(B$3:B$4))*(B$3:B$4&gt;$AQ$3:$AQ$4))+ISBLANK(B$3:B$4))</f>
        <v>0</v>
      </c>
      <c r="C12" s="1"/>
      <c r="D12" s="1">
        <f>SUMPRODUCT((NOT(ISBLANK(D$3:D$4))*(D$3:D$4&gt;$AQ$3:$AQ$4))+ISBLANK(D$3:D$4))</f>
        <v>0</v>
      </c>
      <c r="E12" s="1"/>
      <c r="F12" s="1">
        <f>SUMPRODUCT((NOT(ISBLANK(F$3:F$4))*(F$3:F$4&gt;$AQ$3:$AQ$4))+ISBLANK(F$3:F$4))</f>
        <v>0</v>
      </c>
      <c r="G12" s="1"/>
      <c r="H12" s="1">
        <f>SUMPRODUCT((NOT(ISBLANK(H$3:H$4))*(H$3:H$4&gt;$AQ$3:$AQ$4))+ISBLANK(H$3:H$4))</f>
        <v>0</v>
      </c>
      <c r="I12" s="1"/>
      <c r="J12" s="1">
        <f>SUMPRODUCT((NOT(ISBLANK(J$3:J$4))*(J$3:J$4&gt;$AQ$3:$AQ$4))+ISBLANK(J$3:J$4))</f>
        <v>0</v>
      </c>
      <c r="K12" s="1"/>
      <c r="L12" s="1">
        <f>SUMPRODUCT((NOT(ISBLANK(L$3:L$4))*(L$3:L$4&gt;$AQ$3:$AQ$4))+ISBLANK(L$3:L$4))</f>
        <v>0</v>
      </c>
      <c r="M12" s="1"/>
      <c r="N12" s="1">
        <f>SUMPRODUCT((NOT(ISBLANK(N$3:N$4))*(N$3:N$4&gt;$AQ$3:$AQ$4))+ISBLANK(N$3:N$4))</f>
        <v>0</v>
      </c>
      <c r="O12" s="1"/>
      <c r="P12" s="1">
        <f>SUMPRODUCT((NOT(ISBLANK(P$3:P$4))*(P$3:P$4&gt;$AQ$3:$AQ$4))+ISBLANK(P$3:P$4))</f>
        <v>0</v>
      </c>
      <c r="Q12" s="1"/>
      <c r="R12" s="1">
        <f>SUMPRODUCT((NOT(ISBLANK(R$3:R$4))*(R$3:R$4&gt;$AQ$3:$AQ$4))+ISBLANK(R$3:R$4))</f>
        <v>0</v>
      </c>
      <c r="S12" s="1"/>
      <c r="T12" s="1">
        <f>SUMPRODUCT((NOT(ISBLANK(T$3:T$4))*(T$3:T$4&gt;$AQ$3:$AQ$4))+ISBLANK(T$3:T$4))</f>
        <v>0</v>
      </c>
      <c r="U12" s="1"/>
      <c r="V12" s="1">
        <f>SUMPRODUCT((NOT(ISBLANK(V$3:V$4))*(V$3:V$4&gt;$AQ$3:$AQ$4))+ISBLANK(V$3:V$4))</f>
        <v>0</v>
      </c>
      <c r="W12" s="1"/>
      <c r="X12" s="1">
        <f>SUMPRODUCT((NOT(ISBLANK(X$3:X$4))*(X$3:X$4&gt;$AQ$3:$AQ$4))+ISBLANK(X$3:X$4))</f>
        <v>0</v>
      </c>
      <c r="Y12" s="1"/>
      <c r="Z12" s="1">
        <f>SUMPRODUCT((NOT(ISBLANK(Z$3:Z$4))*(Z$3:Z$4&gt;$AQ$3:$AQ$4))+ISBLANK(Z$3:Z$4))</f>
        <v>0</v>
      </c>
      <c r="AA12" s="1"/>
      <c r="AB12" s="1">
        <f>SUMPRODUCT((NOT(ISBLANK(AB$3:AB$4))*(AB$3:AB$4&gt;$AQ$3:$AQ$4))+ISBLANK(AB$3:AB$4))</f>
        <v>0</v>
      </c>
      <c r="AC12" s="1"/>
      <c r="AD12" s="1">
        <f>SUMPRODUCT((NOT(ISBLANK(AD$3:AD$4))*(AD$3:AD$4&gt;$AQ$3:$AQ$4))+ISBLANK(AD$3:AD$4))</f>
        <v>0</v>
      </c>
      <c r="AE12" s="1"/>
      <c r="AF12" s="1">
        <f>SUMPRODUCT((NOT(ISBLANK(AF$3:AF$4))*(AF$3:AF$4&gt;$AQ$3:$AQ$4))+ISBLANK(AF$3:AF$4))</f>
        <v>0</v>
      </c>
      <c r="AG12" s="1"/>
      <c r="AH12" s="1">
        <f>SUMPRODUCT((NOT(ISBLANK(AH$3:AH$4))*(AH$3:AH$4&gt;$AQ$3:$AQ$4))+ISBLANK(AH$3:AH$4))</f>
        <v>0</v>
      </c>
      <c r="AI12" s="1"/>
      <c r="AJ12" s="1">
        <f>SUMPRODUCT((NOT(ISBLANK(AJ$3:AJ$4))*(AJ$3:AJ$4&gt;$AQ$3:$AQ$4))+ISBLANK(AJ$3:AJ$4))</f>
        <v>0</v>
      </c>
      <c r="AK12" s="1"/>
      <c r="AL12" s="1">
        <f>SUMPRODUCT((NOT(ISBLANK(AL$3:AL$4))*(AL$3:AL$4&gt;$AQ$3:$AQ$4))+ISBLANK(AL$3:AL$4))</f>
        <v>0</v>
      </c>
      <c r="AM12" s="1"/>
      <c r="AN12" s="1">
        <f>SUMPRODUCT((NOT(ISBLANK(AN$3:AN$4))*(AN$3:AN$4&gt;$AQ$3:$AQ$4))+ISBLANK(AN$3:AN$4))</f>
        <v>0</v>
      </c>
      <c r="AO12" s="1"/>
      <c r="AP12" s="1"/>
      <c r="AQ12" s="1"/>
      <c r="AR12" s="1"/>
    </row>
    <row r="13" spans="1:44">
      <c r="A13" s="1" t="s">
        <v>13</v>
      </c>
      <c r="B13" s="1">
        <f>SUMPRODUCT((NOT(ISBLANK(B$3:B$4))*(B$3:B$4=$AR$3:$AR$4))+ISBLANK(B$3:B$4))</f>
        <v>0</v>
      </c>
      <c r="C13" s="1"/>
      <c r="D13" s="1">
        <f>SUMPRODUCT((NOT(ISBLANK(D$3:D$4))*(D$3:D$4=$AR$3:$AR$4))+ISBLANK(D$3:D$4))</f>
        <v>0</v>
      </c>
      <c r="E13" s="1"/>
      <c r="F13" s="1">
        <f>SUMPRODUCT((NOT(ISBLANK(F$3:F$4))*(F$3:F$4=$AR$3:$AR$4))+ISBLANK(F$3:F$4))</f>
        <v>0</v>
      </c>
      <c r="G13" s="1"/>
      <c r="H13" s="1">
        <f>SUMPRODUCT((NOT(ISBLANK(H$3:H$4))*(H$3:H$4=$AR$3:$AR$4))+ISBLANK(H$3:H$4))</f>
        <v>0</v>
      </c>
      <c r="I13" s="1"/>
      <c r="J13" s="1">
        <f>SUMPRODUCT((NOT(ISBLANK(J$3:J$4))*(J$3:J$4=$AR$3:$AR$4))+ISBLANK(J$3:J$4))</f>
        <v>0</v>
      </c>
      <c r="K13" s="1"/>
      <c r="L13" s="1">
        <f>SUMPRODUCT((NOT(ISBLANK(L$3:L$4))*(L$3:L$4=$AR$3:$AR$4))+ISBLANK(L$3:L$4))</f>
        <v>0</v>
      </c>
      <c r="M13" s="1"/>
      <c r="N13" s="1">
        <f>SUMPRODUCT((NOT(ISBLANK(N$3:N$4))*(N$3:N$4=$AR$3:$AR$4))+ISBLANK(N$3:N$4))</f>
        <v>0</v>
      </c>
      <c r="O13" s="1"/>
      <c r="P13" s="1">
        <f>SUMPRODUCT((NOT(ISBLANK(P$3:P$4))*(P$3:P$4=$AR$3:$AR$4))+ISBLANK(P$3:P$4))</f>
        <v>0</v>
      </c>
      <c r="Q13" s="1"/>
      <c r="R13" s="1">
        <f>SUMPRODUCT((NOT(ISBLANK(R$3:R$4))*(R$3:R$4=$AR$3:$AR$4))+ISBLANK(R$3:R$4))</f>
        <v>0</v>
      </c>
      <c r="S13" s="1"/>
      <c r="T13" s="1">
        <f>SUMPRODUCT((NOT(ISBLANK(T$3:T$4))*(T$3:T$4=$AR$3:$AR$4))+ISBLANK(T$3:T$4))</f>
        <v>0</v>
      </c>
      <c r="U13" s="1"/>
      <c r="V13" s="1">
        <f>SUMPRODUCT((NOT(ISBLANK(V$3:V$4))*(V$3:V$4=$AR$3:$AR$4))+ISBLANK(V$3:V$4))</f>
        <v>0</v>
      </c>
      <c r="W13" s="1"/>
      <c r="X13" s="1">
        <f>SUMPRODUCT((NOT(ISBLANK(X$3:X$4))*(X$3:X$4=$AR$3:$AR$4))+ISBLANK(X$3:X$4))</f>
        <v>0</v>
      </c>
      <c r="Y13" s="1"/>
      <c r="Z13" s="1">
        <f>SUMPRODUCT((NOT(ISBLANK(Z$3:Z$4))*(Z$3:Z$4=$AR$3:$AR$4))+ISBLANK(Z$3:Z$4))</f>
        <v>0</v>
      </c>
      <c r="AA13" s="1"/>
      <c r="AB13" s="1">
        <f>SUMPRODUCT((NOT(ISBLANK(AB$3:AB$4))*(AB$3:AB$4=$AR$3:$AR$4))+ISBLANK(AB$3:AB$4))</f>
        <v>0</v>
      </c>
      <c r="AC13" s="1"/>
      <c r="AD13" s="1">
        <f>SUMPRODUCT((NOT(ISBLANK(AD$3:AD$4))*(AD$3:AD$4=$AR$3:$AR$4))+ISBLANK(AD$3:AD$4))</f>
        <v>0</v>
      </c>
      <c r="AE13" s="1"/>
      <c r="AF13" s="1">
        <f>SUMPRODUCT((NOT(ISBLANK(AF$3:AF$4))*(AF$3:AF$4=$AR$3:$AR$4))+ISBLANK(AF$3:AF$4))</f>
        <v>0</v>
      </c>
      <c r="AG13" s="1"/>
      <c r="AH13" s="1">
        <f>SUMPRODUCT((NOT(ISBLANK(AH$3:AH$4))*(AH$3:AH$4=$AR$3:$AR$4))+ISBLANK(AH$3:AH$4))</f>
        <v>0</v>
      </c>
      <c r="AI13" s="1"/>
      <c r="AJ13" s="1">
        <f>SUMPRODUCT((NOT(ISBLANK(AJ$3:AJ$4))*(AJ$3:AJ$4=$AR$3:$AR$4))+ISBLANK(AJ$3:AJ$4))</f>
        <v>0</v>
      </c>
      <c r="AK13" s="1"/>
      <c r="AL13" s="1">
        <f>SUMPRODUCT((NOT(ISBLANK(AL$3:AL$4))*(AL$3:AL$4=$AR$3:$AR$4))+ISBLANK(AL$3:AL$4))</f>
        <v>0</v>
      </c>
      <c r="AM13" s="1"/>
      <c r="AN13" s="1">
        <f>SUMPRODUCT((NOT(ISBLANK(AN$3:AN$4))*(AN$3:AN$4=$AR$3:$AR$4))+ISBLANK(AN$3:AN$4))</f>
        <v>0</v>
      </c>
      <c r="AO13" s="1"/>
      <c r="AP13" s="1"/>
      <c r="AQ13" s="1"/>
      <c r="AR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2026-02-10T16:29:58Z</dcterms:created>
  <dcterms:modified xsi:type="dcterms:W3CDTF">2026-02-10T16:29:58Z</dcterms:modified>
</cp:coreProperties>
</file>