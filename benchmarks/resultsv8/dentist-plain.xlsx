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<sst xmlns="http://schemas.openxmlformats.org/spreadsheetml/2006/main" count="260" uniqueCount="37">
  <si>
    <t>instances/size-1</t>
  </si>
  <si>
    <t>instances/size-10</t>
  </si>
  <si>
    <t>instances/size-2</t>
  </si>
  <si>
    <t>instances/size-3</t>
  </si>
  <si>
    <t>instances/size-4</t>
  </si>
  <si>
    <t>instances/size-5</t>
  </si>
  <si>
    <t>instances/size-6</t>
  </si>
  <si>
    <t>instances/size-7</t>
  </si>
  <si>
    <t>instances/size-8</t>
  </si>
  <si>
    <t>instances/size-9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</si>
  <si>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</si>
  <si>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</si>
  <si>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</si>
  <si>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</si>
  <si>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</si>
  <si>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</si>
  <si>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</si>
  <si>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</si>
  <si>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memelingo-1/simple_mlp-lpnmr-ht</t>
  </si>
  <si>
    <t>time</t>
  </si>
  <si>
    <t>stime</t>
  </si>
  <si>
    <t>status</t>
  </si>
  <si>
    <t>SATISFIABLE</t>
  </si>
  <si>
    <t>rules</t>
  </si>
  <si>
    <t>ctime</t>
  </si>
  <si>
    <t>fmtime</t>
  </si>
  <si>
    <t>memout</t>
  </si>
  <si>
    <t>memelingo-1/simple_mlp-lpnmr-htc</t>
  </si>
  <si>
    <t>memelingo-1/simple_mlp-lpnmr-htcdl</t>
  </si>
  <si>
    <t>memelingo-1/simple_mlp-tplp-ht</t>
  </si>
  <si>
    <t>memelingo-1/simple_mlp-tplp-htc</t>
  </si>
  <si>
    <t>memelingo-1/simple_mlp-tplp-htcdl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</si>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</sst>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24" width="11.42578125" customWidth="1"/>
    <col min="25" max="25" width="11.7109375" customWidth="1"/>
    <col min="26" max="31" width="11.42578125" customWidth="1"/>
    <col min="32" max="32" width="11.7109375" customWidth="1"/>
    <col min="33" max="38" width="11.42578125" customWidth="1"/>
    <col min="39" max="39" width="11.7109375" customWidth="1"/>
    <col min="40" max="61" width="11.42578125" customWidth="1"/>
  </cols>
  <sheetData>
    <row r="1" spans="1:61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/>
      <c r="AD1" s="1" t="s">
        <v>30</v>
      </c>
      <c r="AE1" s="1"/>
      <c r="AF1" s="1"/>
      <c r="AG1" s="1"/>
      <c r="AH1" s="1"/>
      <c r="AI1" s="1"/>
      <c r="AJ1" s="1"/>
      <c r="AK1" s="1" t="s">
        <v>31</v>
      </c>
      <c r="AL1" s="1"/>
      <c r="AM1" s="1"/>
      <c r="AN1" s="1"/>
      <c r="AO1" s="1"/>
      <c r="AP1" s="1"/>
      <c r="AQ1" s="1"/>
      <c r="AR1" s="1" t="s">
        <v>32</v>
      </c>
      <c r="AS1" s="1"/>
      <c r="AT1" s="1"/>
      <c r="AU1" s="1"/>
      <c r="AV1" s="1"/>
      <c r="AW1" s="1"/>
      <c r="AX1" s="1" t="s">
        <v>33</v>
      </c>
      <c r="AY1" s="1"/>
      <c r="AZ1" s="1"/>
      <c r="BA1" s="1"/>
      <c r="BB1" s="1"/>
      <c r="BC1" s="1"/>
      <c r="BD1" s="1" t="s">
        <v>34</v>
      </c>
      <c r="BE1" s="1"/>
      <c r="BF1" s="1"/>
      <c r="BG1" s="1"/>
      <c r="BH1" s="1"/>
      <c r="BI1" s="1"/>
    </row>
    <row r="2" spans="1:61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  <c r="AI2" s="1" t="s">
        <v>25</v>
      </c>
      <c r="AJ2" s="1" t="s">
        <v>26</v>
      </c>
      <c r="AK2" s="1" t="s">
        <v>19</v>
      </c>
      <c r="AL2" s="1" t="s">
        <v>20</v>
      </c>
      <c r="AM2" s="1" t="s">
        <v>21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19</v>
      </c>
      <c r="AS2" s="1" t="s">
        <v>20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19</v>
      </c>
      <c r="AY2" s="1" t="s">
        <v>20</v>
      </c>
      <c r="AZ2" s="1" t="s">
        <v>23</v>
      </c>
      <c r="BA2" s="1" t="s">
        <v>24</v>
      </c>
      <c r="BB2" s="1" t="s">
        <v>25</v>
      </c>
      <c r="BC2" s="1" t="s">
        <v>26</v>
      </c>
      <c r="BD2" s="1" t="s">
        <v>19</v>
      </c>
      <c r="BE2" s="1" t="s">
        <v>20</v>
      </c>
      <c r="BF2" s="1" t="s">
        <v>23</v>
      </c>
      <c r="BG2" s="1" t="s">
        <v>24</v>
      </c>
      <c r="BH2" s="1" t="s">
        <v>25</v>
      </c>
      <c r="BI2" s="1" t="s">
        <v>26</v>
      </c>
    </row>
    <row r="3" spans="1:61">
      <c r="A3" s="1" t="s">
        <v>0</v>
      </c>
      <c r="B3" s="1">
        <v>7.1</v>
      </c>
      <c r="C3" s="1">
        <v>0.03</v>
      </c>
      <c r="D3" s="1" t="s">
        <v>22</v>
      </c>
      <c r="E3" s="1">
        <v>297383</v>
      </c>
      <c r="F3" s="1">
        <v>1.213</v>
      </c>
      <c r="G3" s="1">
        <v>0.01</v>
      </c>
      <c r="H3" s="1">
        <v>0</v>
      </c>
      <c r="I3" s="1">
        <v>6.24</v>
      </c>
      <c r="J3" s="1">
        <v>0.01</v>
      </c>
      <c r="K3" s="1" t="s">
        <v>22</v>
      </c>
      <c r="L3" s="1">
        <v>2337</v>
      </c>
      <c r="M3" s="1">
        <v>0.162</v>
      </c>
      <c r="N3" s="1">
        <v>0</v>
      </c>
      <c r="O3" s="1">
        <v>0</v>
      </c>
      <c r="P3" s="1">
        <v>5.85</v>
      </c>
      <c r="Q3" s="1">
        <v>0.01</v>
      </c>
      <c r="R3" s="1" t="s">
        <v>22</v>
      </c>
      <c r="S3" s="1">
        <v>2337</v>
      </c>
      <c r="T3" s="1">
        <v>0.147</v>
      </c>
      <c r="U3" s="1">
        <v>0</v>
      </c>
      <c r="V3" s="1">
        <v>0</v>
      </c>
      <c r="W3" s="1">
        <v>6.78</v>
      </c>
      <c r="X3" s="1">
        <v>0.29</v>
      </c>
      <c r="Y3" s="1" t="s">
        <v>22</v>
      </c>
      <c r="Z3" s="1">
        <v>334458</v>
      </c>
      <c r="AA3" s="1">
        <v>0.927</v>
      </c>
      <c r="AB3" s="1">
        <v>0.02</v>
      </c>
      <c r="AC3" s="1">
        <v>0</v>
      </c>
      <c r="AD3" s="1">
        <v>5.81</v>
      </c>
      <c r="AE3" s="1">
        <v>0.01</v>
      </c>
      <c r="AF3" s="1" t="s">
        <v>22</v>
      </c>
      <c r="AG3" s="1">
        <v>2572</v>
      </c>
      <c r="AH3" s="1">
        <v>0.168</v>
      </c>
      <c r="AI3" s="1">
        <v>0</v>
      </c>
      <c r="AJ3" s="1">
        <v>0</v>
      </c>
      <c r="AK3" s="1">
        <v>5.69</v>
      </c>
      <c r="AL3" s="1">
        <v>0.01</v>
      </c>
      <c r="AM3" s="1" t="s">
        <v>22</v>
      </c>
      <c r="AN3" s="1">
        <v>2572</v>
      </c>
      <c r="AO3" s="1">
        <v>0.153</v>
      </c>
      <c r="AP3" s="1">
        <v>0</v>
      </c>
      <c r="AQ3" s="1"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 t="s">
        <v>1</v>
      </c>
      <c r="B4" s="1">
        <v>1200</v>
      </c>
      <c r="C4" s="1"/>
      <c r="D4" s="1"/>
      <c r="E4" s="1"/>
      <c r="F4" s="1"/>
      <c r="G4" s="1"/>
      <c r="H4" s="1">
        <v>0</v>
      </c>
      <c r="I4" s="1">
        <v>1200</v>
      </c>
      <c r="J4" s="1"/>
      <c r="K4" s="1"/>
      <c r="L4" s="1"/>
      <c r="M4" s="1"/>
      <c r="N4" s="1"/>
      <c r="O4" s="1">
        <v>0</v>
      </c>
      <c r="P4" s="1">
        <v>1200</v>
      </c>
      <c r="Q4" s="1"/>
      <c r="R4" s="1"/>
      <c r="S4" s="1"/>
      <c r="T4" s="1"/>
      <c r="U4" s="1"/>
      <c r="V4" s="1">
        <v>0</v>
      </c>
      <c r="W4" s="1">
        <v>1200</v>
      </c>
      <c r="X4" s="1"/>
      <c r="Y4" s="1"/>
      <c r="Z4" s="1"/>
      <c r="AA4" s="1"/>
      <c r="AB4" s="1"/>
      <c r="AC4" s="1">
        <v>0</v>
      </c>
      <c r="AD4" s="1">
        <v>1200</v>
      </c>
      <c r="AE4" s="1"/>
      <c r="AF4" s="1"/>
      <c r="AG4" s="1"/>
      <c r="AH4" s="1"/>
      <c r="AI4" s="1"/>
      <c r="AJ4" s="1">
        <v>0</v>
      </c>
      <c r="AK4" s="1">
        <v>1200</v>
      </c>
      <c r="AL4" s="1"/>
      <c r="AM4" s="1"/>
      <c r="AN4" s="1"/>
      <c r="AO4" s="1"/>
      <c r="AP4" s="1"/>
      <c r="AQ4" s="1">
        <v>0</v>
      </c>
      <c r="AR4" s="1">
        <f>MIN($B4,$I4,$P4,$W4,$AD4,$AK4)</f>
        <v>0</v>
      </c>
      <c r="AS4" s="1"/>
      <c r="AT4" s="1"/>
      <c r="AU4" s="1"/>
      <c r="AV4" s="1"/>
      <c r="AW4" s="1">
        <f>MIN($H4,$O4,$V4,$AC4,$AJ4,$AQ4)</f>
        <v>0</v>
      </c>
      <c r="AX4" s="1">
        <f>MEDIAN($B4,$I4,$P4,$W4,$AD4,$AK4)</f>
        <v>0</v>
      </c>
      <c r="AY4" s="1"/>
      <c r="AZ4" s="1"/>
      <c r="BA4" s="1"/>
      <c r="BB4" s="1"/>
      <c r="BC4" s="1">
        <f>MEDIAN($H4,$O4,$V4,$AC4,$AJ4,$AQ4)</f>
        <v>0</v>
      </c>
      <c r="BD4" s="1">
        <f>MAX($B4,$I4,$P4,$W4,$AD4,$AK4)</f>
        <v>0</v>
      </c>
      <c r="BE4" s="1"/>
      <c r="BF4" s="1"/>
      <c r="BG4" s="1"/>
      <c r="BH4" s="1"/>
      <c r="BI4" s="1">
        <f>MAX($H4,$O4,$V4,$AC4,$AJ4,$AQ4)</f>
        <v>0</v>
      </c>
    </row>
    <row r="5" spans="1:61">
      <c r="A5" s="1" t="s">
        <v>2</v>
      </c>
      <c r="B5" s="1">
        <v>1200</v>
      </c>
      <c r="C5" s="1"/>
      <c r="D5" s="1"/>
      <c r="E5" s="1"/>
      <c r="F5" s="1"/>
      <c r="G5" s="1"/>
      <c r="H5" s="1">
        <v>0</v>
      </c>
      <c r="I5" s="1">
        <v>1200</v>
      </c>
      <c r="J5" s="1"/>
      <c r="K5" s="1"/>
      <c r="L5" s="1"/>
      <c r="M5" s="1"/>
      <c r="N5" s="1"/>
      <c r="O5" s="1">
        <v>0</v>
      </c>
      <c r="P5" s="1">
        <v>1200</v>
      </c>
      <c r="Q5" s="1"/>
      <c r="R5" s="1"/>
      <c r="S5" s="1"/>
      <c r="T5" s="1"/>
      <c r="U5" s="1"/>
      <c r="V5" s="1">
        <v>0</v>
      </c>
      <c r="W5" s="1">
        <v>1200</v>
      </c>
      <c r="X5" s="1"/>
      <c r="Y5" s="1"/>
      <c r="Z5" s="1"/>
      <c r="AA5" s="1"/>
      <c r="AB5" s="1"/>
      <c r="AC5" s="1">
        <v>0</v>
      </c>
      <c r="AD5" s="1">
        <v>1200</v>
      </c>
      <c r="AE5" s="1"/>
      <c r="AF5" s="1"/>
      <c r="AG5" s="1"/>
      <c r="AH5" s="1"/>
      <c r="AI5" s="1"/>
      <c r="AJ5" s="1">
        <v>0</v>
      </c>
      <c r="AK5" s="1">
        <v>1200</v>
      </c>
      <c r="AL5" s="1"/>
      <c r="AM5" s="1"/>
      <c r="AN5" s="1"/>
      <c r="AO5" s="1"/>
      <c r="AP5" s="1"/>
      <c r="AQ5" s="1">
        <v>0</v>
      </c>
      <c r="AR5" s="1">
        <f>MIN($B5,$I5,$P5,$W5,$AD5,$AK5)</f>
        <v>0</v>
      </c>
      <c r="AS5" s="1"/>
      <c r="AT5" s="1"/>
      <c r="AU5" s="1"/>
      <c r="AV5" s="1"/>
      <c r="AW5" s="1">
        <f>MIN($H5,$O5,$V5,$AC5,$AJ5,$AQ5)</f>
        <v>0</v>
      </c>
      <c r="AX5" s="1">
        <f>MEDIAN($B5,$I5,$P5,$W5,$AD5,$AK5)</f>
        <v>0</v>
      </c>
      <c r="AY5" s="1"/>
      <c r="AZ5" s="1"/>
      <c r="BA5" s="1"/>
      <c r="BB5" s="1"/>
      <c r="BC5" s="1">
        <f>MEDIAN($H5,$O5,$V5,$AC5,$AJ5,$AQ5)</f>
        <v>0</v>
      </c>
      <c r="BD5" s="1">
        <f>MAX($B5,$I5,$P5,$W5,$AD5,$AK5)</f>
        <v>0</v>
      </c>
      <c r="BE5" s="1"/>
      <c r="BF5" s="1"/>
      <c r="BG5" s="1"/>
      <c r="BH5" s="1"/>
      <c r="BI5" s="1">
        <f>MAX($H5,$O5,$V5,$AC5,$AJ5,$AQ5)</f>
        <v>0</v>
      </c>
    </row>
    <row r="6" spans="1:61">
      <c r="A6" s="1" t="s">
        <v>3</v>
      </c>
      <c r="B6" s="1">
        <v>1200</v>
      </c>
      <c r="C6" s="1"/>
      <c r="D6" s="1"/>
      <c r="E6" s="1"/>
      <c r="F6" s="1"/>
      <c r="G6" s="1"/>
      <c r="H6" s="1">
        <v>0</v>
      </c>
      <c r="I6" s="1">
        <v>1200</v>
      </c>
      <c r="J6" s="1"/>
      <c r="K6" s="1"/>
      <c r="L6" s="1"/>
      <c r="M6" s="1"/>
      <c r="N6" s="1"/>
      <c r="O6" s="1">
        <v>0</v>
      </c>
      <c r="P6" s="1">
        <v>1200</v>
      </c>
      <c r="Q6" s="1"/>
      <c r="R6" s="1"/>
      <c r="S6" s="1"/>
      <c r="T6" s="1"/>
      <c r="U6" s="1"/>
      <c r="V6" s="1">
        <v>0</v>
      </c>
      <c r="W6" s="1">
        <v>1200</v>
      </c>
      <c r="X6" s="1"/>
      <c r="Y6" s="1"/>
      <c r="Z6" s="1"/>
      <c r="AA6" s="1"/>
      <c r="AB6" s="1"/>
      <c r="AC6" s="1">
        <v>0</v>
      </c>
      <c r="AD6" s="1">
        <v>1200</v>
      </c>
      <c r="AE6" s="1"/>
      <c r="AF6" s="1"/>
      <c r="AG6" s="1"/>
      <c r="AH6" s="1"/>
      <c r="AI6" s="1"/>
      <c r="AJ6" s="1">
        <v>0</v>
      </c>
      <c r="AK6" s="1">
        <v>1200</v>
      </c>
      <c r="AL6" s="1"/>
      <c r="AM6" s="1"/>
      <c r="AN6" s="1"/>
      <c r="AO6" s="1"/>
      <c r="AP6" s="1"/>
      <c r="AQ6" s="1">
        <v>0</v>
      </c>
      <c r="AR6" s="1">
        <f>MIN($B6,$I6,$P6,$W6,$AD6,$AK6)</f>
        <v>0</v>
      </c>
      <c r="AS6" s="1"/>
      <c r="AT6" s="1"/>
      <c r="AU6" s="1"/>
      <c r="AV6" s="1"/>
      <c r="AW6" s="1">
        <f>MIN($H6,$O6,$V6,$AC6,$AJ6,$AQ6)</f>
        <v>0</v>
      </c>
      <c r="AX6" s="1">
        <f>MEDIAN($B6,$I6,$P6,$W6,$AD6,$AK6)</f>
        <v>0</v>
      </c>
      <c r="AY6" s="1"/>
      <c r="AZ6" s="1"/>
      <c r="BA6" s="1"/>
      <c r="BB6" s="1"/>
      <c r="BC6" s="1">
        <f>MEDIAN($H6,$O6,$V6,$AC6,$AJ6,$AQ6)</f>
        <v>0</v>
      </c>
      <c r="BD6" s="1">
        <f>MAX($B6,$I6,$P6,$W6,$AD6,$AK6)</f>
        <v>0</v>
      </c>
      <c r="BE6" s="1"/>
      <c r="BF6" s="1"/>
      <c r="BG6" s="1"/>
      <c r="BH6" s="1"/>
      <c r="BI6" s="1">
        <f>MAX($H6,$O6,$V6,$AC6,$AJ6,$AQ6)</f>
        <v>0</v>
      </c>
    </row>
    <row r="7" spans="1:61">
      <c r="A7" s="1" t="s">
        <v>4</v>
      </c>
      <c r="B7" s="1">
        <v>1200</v>
      </c>
      <c r="C7" s="1"/>
      <c r="D7" s="1"/>
      <c r="E7" s="1"/>
      <c r="F7" s="1"/>
      <c r="G7" s="1"/>
      <c r="H7" s="1">
        <v>0</v>
      </c>
      <c r="I7" s="1">
        <v>1200</v>
      </c>
      <c r="J7" s="1"/>
      <c r="K7" s="1"/>
      <c r="L7" s="1"/>
      <c r="M7" s="1"/>
      <c r="N7" s="1"/>
      <c r="O7" s="1">
        <v>0</v>
      </c>
      <c r="P7" s="1">
        <v>1200</v>
      </c>
      <c r="Q7" s="1"/>
      <c r="R7" s="1"/>
      <c r="S7" s="1"/>
      <c r="T7" s="1"/>
      <c r="U7" s="1"/>
      <c r="V7" s="1">
        <v>0</v>
      </c>
      <c r="W7" s="1">
        <v>1200</v>
      </c>
      <c r="X7" s="1"/>
      <c r="Y7" s="1"/>
      <c r="Z7" s="1"/>
      <c r="AA7" s="1"/>
      <c r="AB7" s="1"/>
      <c r="AC7" s="1">
        <v>0</v>
      </c>
      <c r="AD7" s="1">
        <v>1200</v>
      </c>
      <c r="AE7" s="1"/>
      <c r="AF7" s="1"/>
      <c r="AG7" s="1"/>
      <c r="AH7" s="1"/>
      <c r="AI7" s="1"/>
      <c r="AJ7" s="1">
        <v>0</v>
      </c>
      <c r="AK7" s="1">
        <v>1200</v>
      </c>
      <c r="AL7" s="1"/>
      <c r="AM7" s="1"/>
      <c r="AN7" s="1"/>
      <c r="AO7" s="1"/>
      <c r="AP7" s="1"/>
      <c r="AQ7" s="1">
        <v>0</v>
      </c>
      <c r="AR7" s="1">
        <f>MIN($B7,$I7,$P7,$W7,$AD7,$AK7)</f>
        <v>0</v>
      </c>
      <c r="AS7" s="1"/>
      <c r="AT7" s="1"/>
      <c r="AU7" s="1"/>
      <c r="AV7" s="1"/>
      <c r="AW7" s="1">
        <f>MIN($H7,$O7,$V7,$AC7,$AJ7,$AQ7)</f>
        <v>0</v>
      </c>
      <c r="AX7" s="1">
        <f>MEDIAN($B7,$I7,$P7,$W7,$AD7,$AK7)</f>
        <v>0</v>
      </c>
      <c r="AY7" s="1"/>
      <c r="AZ7" s="1"/>
      <c r="BA7" s="1"/>
      <c r="BB7" s="1"/>
      <c r="BC7" s="1">
        <f>MEDIAN($H7,$O7,$V7,$AC7,$AJ7,$AQ7)</f>
        <v>0</v>
      </c>
      <c r="BD7" s="1">
        <f>MAX($B7,$I7,$P7,$W7,$AD7,$AK7)</f>
        <v>0</v>
      </c>
      <c r="BE7" s="1"/>
      <c r="BF7" s="1"/>
      <c r="BG7" s="1"/>
      <c r="BH7" s="1"/>
      <c r="BI7" s="1">
        <f>MAX($H7,$O7,$V7,$AC7,$AJ7,$AQ7)</f>
        <v>0</v>
      </c>
    </row>
    <row r="8" spans="1:61">
      <c r="A8" s="1" t="s">
        <v>5</v>
      </c>
      <c r="B8" s="1">
        <v>1200</v>
      </c>
      <c r="C8" s="1"/>
      <c r="D8" s="1"/>
      <c r="E8" s="1"/>
      <c r="F8" s="1"/>
      <c r="G8" s="1"/>
      <c r="H8" s="1">
        <v>0</v>
      </c>
      <c r="I8" s="1">
        <v>1200</v>
      </c>
      <c r="J8" s="1"/>
      <c r="K8" s="1"/>
      <c r="L8" s="1"/>
      <c r="M8" s="1"/>
      <c r="N8" s="1"/>
      <c r="O8" s="1">
        <v>0</v>
      </c>
      <c r="P8" s="1">
        <v>1200</v>
      </c>
      <c r="Q8" s="1"/>
      <c r="R8" s="1"/>
      <c r="S8" s="1"/>
      <c r="T8" s="1"/>
      <c r="U8" s="1"/>
      <c r="V8" s="1">
        <v>0</v>
      </c>
      <c r="W8" s="1">
        <v>1200</v>
      </c>
      <c r="X8" s="1"/>
      <c r="Y8" s="1"/>
      <c r="Z8" s="1"/>
      <c r="AA8" s="1"/>
      <c r="AB8" s="1"/>
      <c r="AC8" s="1">
        <v>0</v>
      </c>
      <c r="AD8" s="1">
        <v>1200</v>
      </c>
      <c r="AE8" s="1"/>
      <c r="AF8" s="1"/>
      <c r="AG8" s="1"/>
      <c r="AH8" s="1"/>
      <c r="AI8" s="1"/>
      <c r="AJ8" s="1">
        <v>0</v>
      </c>
      <c r="AK8" s="1">
        <v>1200</v>
      </c>
      <c r="AL8" s="1"/>
      <c r="AM8" s="1"/>
      <c r="AN8" s="1"/>
      <c r="AO8" s="1"/>
      <c r="AP8" s="1"/>
      <c r="AQ8" s="1">
        <v>0</v>
      </c>
      <c r="AR8" s="1">
        <f>MIN($B8,$I8,$P8,$W8,$AD8,$AK8)</f>
        <v>0</v>
      </c>
      <c r="AS8" s="1"/>
      <c r="AT8" s="1"/>
      <c r="AU8" s="1"/>
      <c r="AV8" s="1"/>
      <c r="AW8" s="1">
        <f>MIN($H8,$O8,$V8,$AC8,$AJ8,$AQ8)</f>
        <v>0</v>
      </c>
      <c r="AX8" s="1">
        <f>MEDIAN($B8,$I8,$P8,$W8,$AD8,$AK8)</f>
        <v>0</v>
      </c>
      <c r="AY8" s="1"/>
      <c r="AZ8" s="1"/>
      <c r="BA8" s="1"/>
      <c r="BB8" s="1"/>
      <c r="BC8" s="1">
        <f>MEDIAN($H8,$O8,$V8,$AC8,$AJ8,$AQ8)</f>
        <v>0</v>
      </c>
      <c r="BD8" s="1">
        <f>MAX($B8,$I8,$P8,$W8,$AD8,$AK8)</f>
        <v>0</v>
      </c>
      <c r="BE8" s="1"/>
      <c r="BF8" s="1"/>
      <c r="BG8" s="1"/>
      <c r="BH8" s="1"/>
      <c r="BI8" s="1">
        <f>MAX($H8,$O8,$V8,$AC8,$AJ8,$AQ8)</f>
        <v>0</v>
      </c>
    </row>
    <row r="9" spans="1:61">
      <c r="A9" s="1" t="s">
        <v>6</v>
      </c>
      <c r="B9" s="1">
        <v>1200</v>
      </c>
      <c r="C9" s="1"/>
      <c r="D9" s="1"/>
      <c r="E9" s="1"/>
      <c r="F9" s="1"/>
      <c r="G9" s="1"/>
      <c r="H9" s="1">
        <v>0</v>
      </c>
      <c r="I9" s="1">
        <v>1200</v>
      </c>
      <c r="J9" s="1"/>
      <c r="K9" s="1"/>
      <c r="L9" s="1"/>
      <c r="M9" s="1"/>
      <c r="N9" s="1"/>
      <c r="O9" s="1">
        <v>0</v>
      </c>
      <c r="P9" s="1">
        <v>1200</v>
      </c>
      <c r="Q9" s="1"/>
      <c r="R9" s="1"/>
      <c r="S9" s="1"/>
      <c r="T9" s="1"/>
      <c r="U9" s="1"/>
      <c r="V9" s="1">
        <v>0</v>
      </c>
      <c r="W9" s="1">
        <v>1200</v>
      </c>
      <c r="X9" s="1"/>
      <c r="Y9" s="1"/>
      <c r="Z9" s="1"/>
      <c r="AA9" s="1"/>
      <c r="AB9" s="1"/>
      <c r="AC9" s="1">
        <v>0</v>
      </c>
      <c r="AD9" s="1">
        <v>1200</v>
      </c>
      <c r="AE9" s="1"/>
      <c r="AF9" s="1"/>
      <c r="AG9" s="1"/>
      <c r="AH9" s="1"/>
      <c r="AI9" s="1"/>
      <c r="AJ9" s="1">
        <v>0</v>
      </c>
      <c r="AK9" s="1">
        <v>1200</v>
      </c>
      <c r="AL9" s="1"/>
      <c r="AM9" s="1"/>
      <c r="AN9" s="1"/>
      <c r="AO9" s="1"/>
      <c r="AP9" s="1"/>
      <c r="AQ9" s="1">
        <v>0</v>
      </c>
      <c r="AR9" s="1">
        <f>MIN($B9,$I9,$P9,$W9,$AD9,$AK9)</f>
        <v>0</v>
      </c>
      <c r="AS9" s="1"/>
      <c r="AT9" s="1"/>
      <c r="AU9" s="1"/>
      <c r="AV9" s="1"/>
      <c r="AW9" s="1">
        <f>MIN($H9,$O9,$V9,$AC9,$AJ9,$AQ9)</f>
        <v>0</v>
      </c>
      <c r="AX9" s="1">
        <f>MEDIAN($B9,$I9,$P9,$W9,$AD9,$AK9)</f>
        <v>0</v>
      </c>
      <c r="AY9" s="1"/>
      <c r="AZ9" s="1"/>
      <c r="BA9" s="1"/>
      <c r="BB9" s="1"/>
      <c r="BC9" s="1">
        <f>MEDIAN($H9,$O9,$V9,$AC9,$AJ9,$AQ9)</f>
        <v>0</v>
      </c>
      <c r="BD9" s="1">
        <f>MAX($B9,$I9,$P9,$W9,$AD9,$AK9)</f>
        <v>0</v>
      </c>
      <c r="BE9" s="1"/>
      <c r="BF9" s="1"/>
      <c r="BG9" s="1"/>
      <c r="BH9" s="1"/>
      <c r="BI9" s="1">
        <f>MAX($H9,$O9,$V9,$AC9,$AJ9,$AQ9)</f>
        <v>0</v>
      </c>
    </row>
    <row r="10" spans="1:61">
      <c r="A10" s="1" t="s">
        <v>7</v>
      </c>
      <c r="B10" s="1">
        <v>1200</v>
      </c>
      <c r="C10" s="1"/>
      <c r="D10" s="1"/>
      <c r="E10" s="1"/>
      <c r="F10" s="1"/>
      <c r="G10" s="1"/>
      <c r="H10" s="1">
        <v>0</v>
      </c>
      <c r="I10" s="1">
        <v>1200</v>
      </c>
      <c r="J10" s="1"/>
      <c r="K10" s="1"/>
      <c r="L10" s="1"/>
      <c r="M10" s="1"/>
      <c r="N10" s="1"/>
      <c r="O10" s="1">
        <v>0</v>
      </c>
      <c r="P10" s="1">
        <v>1200</v>
      </c>
      <c r="Q10" s="1"/>
      <c r="R10" s="1"/>
      <c r="S10" s="1"/>
      <c r="T10" s="1"/>
      <c r="U10" s="1"/>
      <c r="V10" s="1">
        <v>0</v>
      </c>
      <c r="W10" s="1">
        <v>1200</v>
      </c>
      <c r="X10" s="1"/>
      <c r="Y10" s="1"/>
      <c r="Z10" s="1"/>
      <c r="AA10" s="1"/>
      <c r="AB10" s="1"/>
      <c r="AC10" s="1">
        <v>0</v>
      </c>
      <c r="AD10" s="1">
        <v>1200</v>
      </c>
      <c r="AE10" s="1"/>
      <c r="AF10" s="1"/>
      <c r="AG10" s="1"/>
      <c r="AH10" s="1"/>
      <c r="AI10" s="1"/>
      <c r="AJ10" s="1">
        <v>0</v>
      </c>
      <c r="AK10" s="1">
        <v>1200</v>
      </c>
      <c r="AL10" s="1"/>
      <c r="AM10" s="1"/>
      <c r="AN10" s="1"/>
      <c r="AO10" s="1"/>
      <c r="AP10" s="1"/>
      <c r="AQ10" s="1">
        <v>0</v>
      </c>
      <c r="AR10" s="1">
        <f>MIN($B10,$I10,$P10,$W10,$AD10,$AK10)</f>
        <v>0</v>
      </c>
      <c r="AS10" s="1"/>
      <c r="AT10" s="1"/>
      <c r="AU10" s="1"/>
      <c r="AV10" s="1"/>
      <c r="AW10" s="1">
        <f>MIN($H10,$O10,$V10,$AC10,$AJ10,$AQ10)</f>
        <v>0</v>
      </c>
      <c r="AX10" s="1">
        <f>MEDIAN($B10,$I10,$P10,$W10,$AD10,$AK10)</f>
        <v>0</v>
      </c>
      <c r="AY10" s="1"/>
      <c r="AZ10" s="1"/>
      <c r="BA10" s="1"/>
      <c r="BB10" s="1"/>
      <c r="BC10" s="1">
        <f>MEDIAN($H10,$O10,$V10,$AC10,$AJ10,$AQ10)</f>
        <v>0</v>
      </c>
      <c r="BD10" s="1">
        <f>MAX($B10,$I10,$P10,$W10,$AD10,$AK10)</f>
        <v>0</v>
      </c>
      <c r="BE10" s="1"/>
      <c r="BF10" s="1"/>
      <c r="BG10" s="1"/>
      <c r="BH10" s="1"/>
      <c r="BI10" s="1">
        <f>MAX($H10,$O10,$V10,$AC10,$AJ10,$AQ10)</f>
        <v>0</v>
      </c>
    </row>
    <row r="11" spans="1:61">
      <c r="A11" s="1" t="s">
        <v>8</v>
      </c>
      <c r="B11" s="1">
        <v>1200</v>
      </c>
      <c r="C11" s="1"/>
      <c r="D11" s="1"/>
      <c r="E11" s="1"/>
      <c r="F11" s="1"/>
      <c r="G11" s="1"/>
      <c r="H11" s="1">
        <v>0</v>
      </c>
      <c r="I11" s="1">
        <v>1200</v>
      </c>
      <c r="J11" s="1"/>
      <c r="K11" s="1"/>
      <c r="L11" s="1"/>
      <c r="M11" s="1"/>
      <c r="N11" s="1"/>
      <c r="O11" s="1">
        <v>0</v>
      </c>
      <c r="P11" s="1">
        <v>1200</v>
      </c>
      <c r="Q11" s="1"/>
      <c r="R11" s="1"/>
      <c r="S11" s="1"/>
      <c r="T11" s="1"/>
      <c r="U11" s="1"/>
      <c r="V11" s="1">
        <v>0</v>
      </c>
      <c r="W11" s="1">
        <v>1200</v>
      </c>
      <c r="X11" s="1"/>
      <c r="Y11" s="1"/>
      <c r="Z11" s="1"/>
      <c r="AA11" s="1"/>
      <c r="AB11" s="1"/>
      <c r="AC11" s="1">
        <v>0</v>
      </c>
      <c r="AD11" s="1">
        <v>1200</v>
      </c>
      <c r="AE11" s="1"/>
      <c r="AF11" s="1"/>
      <c r="AG11" s="1"/>
      <c r="AH11" s="1"/>
      <c r="AI11" s="1"/>
      <c r="AJ11" s="1">
        <v>0</v>
      </c>
      <c r="AK11" s="1">
        <v>1200</v>
      </c>
      <c r="AL11" s="1"/>
      <c r="AM11" s="1"/>
      <c r="AN11" s="1"/>
      <c r="AO11" s="1"/>
      <c r="AP11" s="1"/>
      <c r="AQ11" s="1">
        <v>0</v>
      </c>
      <c r="AR11" s="1">
        <f>MIN($B11,$I11,$P11,$W11,$AD11,$AK11)</f>
        <v>0</v>
      </c>
      <c r="AS11" s="1"/>
      <c r="AT11" s="1"/>
      <c r="AU11" s="1"/>
      <c r="AV11" s="1"/>
      <c r="AW11" s="1">
        <f>MIN($H11,$O11,$V11,$AC11,$AJ11,$AQ11)</f>
        <v>0</v>
      </c>
      <c r="AX11" s="1">
        <f>MEDIAN($B11,$I11,$P11,$W11,$AD11,$AK11)</f>
        <v>0</v>
      </c>
      <c r="AY11" s="1"/>
      <c r="AZ11" s="1"/>
      <c r="BA11" s="1"/>
      <c r="BB11" s="1"/>
      <c r="BC11" s="1">
        <f>MEDIAN($H11,$O11,$V11,$AC11,$AJ11,$AQ11)</f>
        <v>0</v>
      </c>
      <c r="BD11" s="1">
        <f>MAX($B11,$I11,$P11,$W11,$AD11,$AK11)</f>
        <v>0</v>
      </c>
      <c r="BE11" s="1"/>
      <c r="BF11" s="1"/>
      <c r="BG11" s="1"/>
      <c r="BH11" s="1"/>
      <c r="BI11" s="1">
        <f>MAX($H11,$O11,$V11,$AC11,$AJ11,$AQ11)</f>
        <v>0</v>
      </c>
    </row>
    <row r="12" spans="1:61">
      <c r="A12" s="1" t="s">
        <v>9</v>
      </c>
      <c r="B12" s="1">
        <v>1200</v>
      </c>
      <c r="C12" s="1"/>
      <c r="D12" s="1"/>
      <c r="E12" s="1"/>
      <c r="F12" s="1"/>
      <c r="G12" s="1"/>
      <c r="H12" s="1">
        <v>0</v>
      </c>
      <c r="I12" s="1">
        <v>1200</v>
      </c>
      <c r="J12" s="1"/>
      <c r="K12" s="1"/>
      <c r="L12" s="1"/>
      <c r="M12" s="1"/>
      <c r="N12" s="1"/>
      <c r="O12" s="1">
        <v>0</v>
      </c>
      <c r="P12" s="1">
        <v>1200</v>
      </c>
      <c r="Q12" s="1"/>
      <c r="R12" s="1"/>
      <c r="S12" s="1"/>
      <c r="T12" s="1"/>
      <c r="U12" s="1"/>
      <c r="V12" s="1">
        <v>0</v>
      </c>
      <c r="W12" s="1">
        <v>1200</v>
      </c>
      <c r="X12" s="1"/>
      <c r="Y12" s="1"/>
      <c r="Z12" s="1"/>
      <c r="AA12" s="1"/>
      <c r="AB12" s="1"/>
      <c r="AC12" s="1">
        <v>0</v>
      </c>
      <c r="AD12" s="1">
        <v>1200</v>
      </c>
      <c r="AE12" s="1"/>
      <c r="AF12" s="1"/>
      <c r="AG12" s="1"/>
      <c r="AH12" s="1"/>
      <c r="AI12" s="1"/>
      <c r="AJ12" s="1">
        <v>0</v>
      </c>
      <c r="AK12" s="1">
        <v>1200</v>
      </c>
      <c r="AL12" s="1"/>
      <c r="AM12" s="1"/>
      <c r="AN12" s="1"/>
      <c r="AO12" s="1"/>
      <c r="AP12" s="1"/>
      <c r="AQ12" s="1">
        <v>0</v>
      </c>
      <c r="AR12" s="1">
        <f>MIN($B12,$I12,$P12,$W12,$AD12,$AK12)</f>
        <v>0</v>
      </c>
      <c r="AS12" s="1"/>
      <c r="AT12" s="1"/>
      <c r="AU12" s="1"/>
      <c r="AV12" s="1"/>
      <c r="AW12" s="1">
        <f>MIN($H12,$O12,$V12,$AC12,$AJ12,$AQ12)</f>
        <v>0</v>
      </c>
      <c r="AX12" s="1">
        <f>MEDIAN($B12,$I12,$P12,$W12,$AD12,$AK12)</f>
        <v>0</v>
      </c>
      <c r="AY12" s="1"/>
      <c r="AZ12" s="1"/>
      <c r="BA12" s="1"/>
      <c r="BB12" s="1"/>
      <c r="BC12" s="1">
        <f>MEDIAN($H12,$O12,$V12,$AC12,$AJ12,$AQ12)</f>
        <v>0</v>
      </c>
      <c r="BD12" s="1">
        <f>MAX($B12,$I12,$P12,$W12,$AD12,$AK12)</f>
        <v>0</v>
      </c>
      <c r="BE12" s="1"/>
      <c r="BF12" s="1"/>
      <c r="BG12" s="1"/>
      <c r="BH12" s="1"/>
      <c r="BI12" s="1">
        <f>MAX($H12,$O12,$V12,$AC12,$AJ12,$AQ12)</f>
        <v>0</v>
      </c>
    </row>
    <row r="13" spans="1:6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/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/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/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</row>
    <row r="15" spans="1:61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/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/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/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</row>
    <row r="16" spans="1:61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/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/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/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</row>
    <row r="17" spans="1:61">
      <c r="A17" s="1" t="s">
        <v>13</v>
      </c>
      <c r="B17" s="1">
        <f>SUMPRODUCT(--(B$3:B$12-$AR$3:$AR$12)^2)^0.5</f>
        <v>0</v>
      </c>
      <c r="C17" s="1">
        <f>SUMPRODUCT(--(C$3:C$12-$AS$3:$AS$12)^2)^0.5</f>
        <v>0</v>
      </c>
      <c r="D17" s="1"/>
      <c r="E17" s="1">
        <f>SUMPRODUCT(--(E$3:E$12-$AT$3:$AT$12)^2)^0.5</f>
        <v>0</v>
      </c>
      <c r="F17" s="1">
        <f>SUMPRODUCT(--(F$3:F$12-$AU$3:$AU$12)^2)^0.5</f>
        <v>0</v>
      </c>
      <c r="G17" s="1">
        <f>SUMPRODUCT(--(G$3:G$12-$AV$3:$AV$12)^2)^0.5</f>
        <v>0</v>
      </c>
      <c r="H17" s="1">
        <f>SUMPRODUCT(--(H$3:H$12-$AW$3:$AW$12)^2)^0.5</f>
        <v>0</v>
      </c>
      <c r="I17" s="1">
        <f>SUMPRODUCT(--(I$3:I$12-$AR$3:$AR$12)^2)^0.5</f>
        <v>0</v>
      </c>
      <c r="J17" s="1">
        <f>SUMPRODUCT(--(J$3:J$12-$AS$3:$AS$12)^2)^0.5</f>
        <v>0</v>
      </c>
      <c r="K17" s="1"/>
      <c r="L17" s="1">
        <f>SUMPRODUCT(--(L$3:L$12-$AT$3:$AT$12)^2)^0.5</f>
        <v>0</v>
      </c>
      <c r="M17" s="1">
        <f>SUMPRODUCT(--(M$3:M$12-$AU$3:$AU$12)^2)^0.5</f>
        <v>0</v>
      </c>
      <c r="N17" s="1">
        <f>SUMPRODUCT(--(N$3:N$12-$AV$3:$AV$12)^2)^0.5</f>
        <v>0</v>
      </c>
      <c r="O17" s="1">
        <f>SUMPRODUCT(--(O$3:O$12-$AW$3:$AW$12)^2)^0.5</f>
        <v>0</v>
      </c>
      <c r="P17" s="1">
        <f>SUMPRODUCT(--(P$3:P$12-$AR$3:$AR$12)^2)^0.5</f>
        <v>0</v>
      </c>
      <c r="Q17" s="1">
        <f>SUMPRODUCT(--(Q$3:Q$12-$AS$3:$AS$12)^2)^0.5</f>
        <v>0</v>
      </c>
      <c r="R17" s="1"/>
      <c r="S17" s="1">
        <f>SUMPRODUCT(--(S$3:S$12-$AT$3:$AT$12)^2)^0.5</f>
        <v>0</v>
      </c>
      <c r="T17" s="1">
        <f>SUMPRODUCT(--(T$3:T$12-$AU$3:$AU$12)^2)^0.5</f>
        <v>0</v>
      </c>
      <c r="U17" s="1">
        <f>SUMPRODUCT(--(U$3:U$12-$AV$3:$AV$12)^2)^0.5</f>
        <v>0</v>
      </c>
      <c r="V17" s="1">
        <f>SUMPRODUCT(--(V$3:V$12-$AW$3:$AW$12)^2)^0.5</f>
        <v>0</v>
      </c>
      <c r="W17" s="1">
        <f>SUMPRODUCT(--(W$3:W$12-$AR$3:$AR$12)^2)^0.5</f>
        <v>0</v>
      </c>
      <c r="X17" s="1">
        <f>SUMPRODUCT(--(X$3:X$12-$AS$3:$AS$12)^2)^0.5</f>
        <v>0</v>
      </c>
      <c r="Y17" s="1"/>
      <c r="Z17" s="1">
        <f>SUMPRODUCT(--(Z$3:Z$12-$AT$3:$AT$12)^2)^0.5</f>
        <v>0</v>
      </c>
      <c r="AA17" s="1">
        <f>SUMPRODUCT(--(AA$3:AA$12-$AU$3:$AU$12)^2)^0.5</f>
        <v>0</v>
      </c>
      <c r="AB17" s="1">
        <f>SUMPRODUCT(--(AB$3:AB$12-$AV$3:$AV$12)^2)^0.5</f>
        <v>0</v>
      </c>
      <c r="AC17" s="1">
        <f>SUMPRODUCT(--(AC$3:AC$12-$AW$3:$AW$12)^2)^0.5</f>
        <v>0</v>
      </c>
      <c r="AD17" s="1">
        <f>SUMPRODUCT(--(AD$3:AD$12-$AR$3:$AR$12)^2)^0.5</f>
        <v>0</v>
      </c>
      <c r="AE17" s="1">
        <f>SUMPRODUCT(--(AE$3:AE$12-$AS$3:$AS$12)^2)^0.5</f>
        <v>0</v>
      </c>
      <c r="AF17" s="1"/>
      <c r="AG17" s="1">
        <f>SUMPRODUCT(--(AG$3:AG$12-$AT$3:$AT$12)^2)^0.5</f>
        <v>0</v>
      </c>
      <c r="AH17" s="1">
        <f>SUMPRODUCT(--(AH$3:AH$12-$AU$3:$AU$12)^2)^0.5</f>
        <v>0</v>
      </c>
      <c r="AI17" s="1">
        <f>SUMPRODUCT(--(AI$3:AI$12-$AV$3:$AV$12)^2)^0.5</f>
        <v>0</v>
      </c>
      <c r="AJ17" s="1">
        <f>SUMPRODUCT(--(AJ$3:AJ$12-$AW$3:$AW$12)^2)^0.5</f>
        <v>0</v>
      </c>
      <c r="AK17" s="1">
        <f>SUMPRODUCT(--(AK$3:AK$12-$AR$3:$AR$12)^2)^0.5</f>
        <v>0</v>
      </c>
      <c r="AL17" s="1">
        <f>SUMPRODUCT(--(AL$3:AL$12-$AS$3:$AS$12)^2)^0.5</f>
        <v>0</v>
      </c>
      <c r="AM17" s="1"/>
      <c r="AN17" s="1">
        <f>SUMPRODUCT(--(AN$3:AN$12-$AT$3:$AT$12)^2)^0.5</f>
        <v>0</v>
      </c>
      <c r="AO17" s="1">
        <f>SUMPRODUCT(--(AO$3:AO$12-$AU$3:$AU$12)^2)^0.5</f>
        <v>0</v>
      </c>
      <c r="AP17" s="1">
        <f>SUMPRODUCT(--(AP$3:AP$12-$AV$3:$AV$12)^2)^0.5</f>
        <v>0</v>
      </c>
      <c r="AQ17" s="1">
        <f>SUMPRODUCT(--(AQ$3:AQ$12-$AW$3:$AW$12)^2)^0.5</f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>
      <c r="A18" s="1" t="s">
        <v>14</v>
      </c>
      <c r="B18" s="1">
        <f>SUMPRODUCT(NOT(ISBLANK(B$3:B$12))*(B$3:B$12=$AR$3:$AR$12))</f>
        <v>0</v>
      </c>
      <c r="C18" s="1">
        <f>SUMPRODUCT(NOT(ISBLANK(C$3:C$12))*(C$3:C$12=$AS$3:$AS$12))</f>
        <v>0</v>
      </c>
      <c r="D18" s="1"/>
      <c r="E18" s="1">
        <f>SUMPRODUCT(NOT(ISBLANK(E$3:E$12))*(E$3:E$12=$AT$3:$AT$12))</f>
        <v>0</v>
      </c>
      <c r="F18" s="1">
        <f>SUMPRODUCT(NOT(ISBLANK(F$3:F$12))*(F$3:F$12=$AU$3:$AU$12))</f>
        <v>0</v>
      </c>
      <c r="G18" s="1">
        <f>SUMPRODUCT(NOT(ISBLANK(G$3:G$12))*(G$3:G$12=$AV$3:$AV$12))</f>
        <v>0</v>
      </c>
      <c r="H18" s="1">
        <f>SUMPRODUCT(NOT(ISBLANK(H$3:H$12))*(H$3:H$12=$AW$3:$AW$12))</f>
        <v>0</v>
      </c>
      <c r="I18" s="1">
        <f>SUMPRODUCT(NOT(ISBLANK(I$3:I$12))*(I$3:I$12=$AR$3:$AR$12))</f>
        <v>0</v>
      </c>
      <c r="J18" s="1">
        <f>SUMPRODUCT(NOT(ISBLANK(J$3:J$12))*(J$3:J$12=$AS$3:$AS$12))</f>
        <v>0</v>
      </c>
      <c r="K18" s="1"/>
      <c r="L18" s="1">
        <f>SUMPRODUCT(NOT(ISBLANK(L$3:L$12))*(L$3:L$12=$AT$3:$AT$12))</f>
        <v>0</v>
      </c>
      <c r="M18" s="1">
        <f>SUMPRODUCT(NOT(ISBLANK(M$3:M$12))*(M$3:M$12=$AU$3:$AU$12))</f>
        <v>0</v>
      </c>
      <c r="N18" s="1">
        <f>SUMPRODUCT(NOT(ISBLANK(N$3:N$12))*(N$3:N$12=$AV$3:$AV$12))</f>
        <v>0</v>
      </c>
      <c r="O18" s="1">
        <f>SUMPRODUCT(NOT(ISBLANK(O$3:O$12))*(O$3:O$12=$AW$3:$AW$12))</f>
        <v>0</v>
      </c>
      <c r="P18" s="1">
        <f>SUMPRODUCT(NOT(ISBLANK(P$3:P$12))*(P$3:P$12=$AR$3:$AR$12))</f>
        <v>0</v>
      </c>
      <c r="Q18" s="1">
        <f>SUMPRODUCT(NOT(ISBLANK(Q$3:Q$12))*(Q$3:Q$12=$AS$3:$AS$12))</f>
        <v>0</v>
      </c>
      <c r="R18" s="1"/>
      <c r="S18" s="1">
        <f>SUMPRODUCT(NOT(ISBLANK(S$3:S$12))*(S$3:S$12=$AT$3:$AT$12))</f>
        <v>0</v>
      </c>
      <c r="T18" s="1">
        <f>SUMPRODUCT(NOT(ISBLANK(T$3:T$12))*(T$3:T$12=$AU$3:$AU$12))</f>
        <v>0</v>
      </c>
      <c r="U18" s="1">
        <f>SUMPRODUCT(NOT(ISBLANK(U$3:U$12))*(U$3:U$12=$AV$3:$AV$12))</f>
        <v>0</v>
      </c>
      <c r="V18" s="1">
        <f>SUMPRODUCT(NOT(ISBLANK(V$3:V$12))*(V$3:V$12=$AW$3:$AW$12))</f>
        <v>0</v>
      </c>
      <c r="W18" s="1">
        <f>SUMPRODUCT(NOT(ISBLANK(W$3:W$12))*(W$3:W$12=$AR$3:$AR$12))</f>
        <v>0</v>
      </c>
      <c r="X18" s="1">
        <f>SUMPRODUCT(NOT(ISBLANK(X$3:X$12))*(X$3:X$12=$AS$3:$AS$12))</f>
        <v>0</v>
      </c>
      <c r="Y18" s="1"/>
      <c r="Z18" s="1">
        <f>SUMPRODUCT(NOT(ISBLANK(Z$3:Z$12))*(Z$3:Z$12=$AT$3:$AT$12))</f>
        <v>0</v>
      </c>
      <c r="AA18" s="1">
        <f>SUMPRODUCT(NOT(ISBLANK(AA$3:AA$12))*(AA$3:AA$12=$AU$3:$AU$12))</f>
        <v>0</v>
      </c>
      <c r="AB18" s="1">
        <f>SUMPRODUCT(NOT(ISBLANK(AB$3:AB$12))*(AB$3:AB$12=$AV$3:$AV$12))</f>
        <v>0</v>
      </c>
      <c r="AC18" s="1">
        <f>SUMPRODUCT(NOT(ISBLANK(AC$3:AC$12))*(AC$3:AC$12=$AW$3:$AW$12))</f>
        <v>0</v>
      </c>
      <c r="AD18" s="1">
        <f>SUMPRODUCT(NOT(ISBLANK(AD$3:AD$12))*(AD$3:AD$12=$AR$3:$AR$12))</f>
        <v>0</v>
      </c>
      <c r="AE18" s="1">
        <f>SUMPRODUCT(NOT(ISBLANK(AE$3:AE$12))*(AE$3:AE$12=$AS$3:$AS$12))</f>
        <v>0</v>
      </c>
      <c r="AF18" s="1"/>
      <c r="AG18" s="1">
        <f>SUMPRODUCT(NOT(ISBLANK(AG$3:AG$12))*(AG$3:AG$12=$AT$3:$AT$12))</f>
        <v>0</v>
      </c>
      <c r="AH18" s="1">
        <f>SUMPRODUCT(NOT(ISBLANK(AH$3:AH$12))*(AH$3:AH$12=$AU$3:$AU$12))</f>
        <v>0</v>
      </c>
      <c r="AI18" s="1">
        <f>SUMPRODUCT(NOT(ISBLANK(AI$3:AI$12))*(AI$3:AI$12=$AV$3:$AV$12))</f>
        <v>0</v>
      </c>
      <c r="AJ18" s="1">
        <f>SUMPRODUCT(NOT(ISBLANK(AJ$3:AJ$12))*(AJ$3:AJ$12=$AW$3:$AW$12))</f>
        <v>0</v>
      </c>
      <c r="AK18" s="1">
        <f>SUMPRODUCT(NOT(ISBLANK(AK$3:AK$12))*(AK$3:AK$12=$AR$3:$AR$12))</f>
        <v>0</v>
      </c>
      <c r="AL18" s="1">
        <f>SUMPRODUCT(NOT(ISBLANK(AL$3:AL$12))*(AL$3:AL$12=$AS$3:$AS$12))</f>
        <v>0</v>
      </c>
      <c r="AM18" s="1"/>
      <c r="AN18" s="1">
        <f>SUMPRODUCT(NOT(ISBLANK(AN$3:AN$12))*(AN$3:AN$12=$AT$3:$AT$12))</f>
        <v>0</v>
      </c>
      <c r="AO18" s="1">
        <f>SUMPRODUCT(NOT(ISBLANK(AO$3:AO$12))*(AO$3:AO$12=$AU$3:$AU$12))</f>
        <v>0</v>
      </c>
      <c r="AP18" s="1">
        <f>SUMPRODUCT(NOT(ISBLANK(AP$3:AP$12))*(AP$3:AP$12=$AV$3:$AV$12))</f>
        <v>0</v>
      </c>
      <c r="AQ18" s="1">
        <f>SUMPRODUCT(NOT(ISBLANK(AQ$3:AQ$12))*(AQ$3:AQ$12=$AW$3:$AW$12))</f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>
      <c r="A19" s="1" t="s">
        <v>15</v>
      </c>
      <c r="B19" s="1">
        <f>SUMPRODUCT(NOT(ISBLANK(B$3:B$12))*(B$3:B$12&lt;$AX$3:$AX$12))</f>
        <v>0</v>
      </c>
      <c r="C19" s="1">
        <f>SUMPRODUCT(NOT(ISBLANK(C$3:C$12))*(C$3:C$12&lt;$AY$3:$AY$12))</f>
        <v>0</v>
      </c>
      <c r="D19" s="1"/>
      <c r="E19" s="1">
        <f>SUMPRODUCT(NOT(ISBLANK(E$3:E$12))*(E$3:E$12&lt;$AZ$3:$AZ$12))</f>
        <v>0</v>
      </c>
      <c r="F19" s="1">
        <f>SUMPRODUCT(NOT(ISBLANK(F$3:F$12))*(F$3:F$12&lt;$BA$3:$BA$12))</f>
        <v>0</v>
      </c>
      <c r="G19" s="1">
        <f>SUMPRODUCT(NOT(ISBLANK(G$3:G$12))*(G$3:G$12&lt;$BB$3:$BB$12))</f>
        <v>0</v>
      </c>
      <c r="H19" s="1">
        <f>SUMPRODUCT(NOT(ISBLANK(H$3:H$12))*(H$3:H$12&lt;$BC$3:$BC$12))</f>
        <v>0</v>
      </c>
      <c r="I19" s="1">
        <f>SUMPRODUCT(NOT(ISBLANK(I$3:I$12))*(I$3:I$12&lt;$AX$3:$AX$12))</f>
        <v>0</v>
      </c>
      <c r="J19" s="1">
        <f>SUMPRODUCT(NOT(ISBLANK(J$3:J$12))*(J$3:J$12&lt;$AY$3:$AY$12))</f>
        <v>0</v>
      </c>
      <c r="K19" s="1"/>
      <c r="L19" s="1">
        <f>SUMPRODUCT(NOT(ISBLANK(L$3:L$12))*(L$3:L$12&lt;$AZ$3:$AZ$12))</f>
        <v>0</v>
      </c>
      <c r="M19" s="1">
        <f>SUMPRODUCT(NOT(ISBLANK(M$3:M$12))*(M$3:M$12&lt;$BA$3:$BA$12))</f>
        <v>0</v>
      </c>
      <c r="N19" s="1">
        <f>SUMPRODUCT(NOT(ISBLANK(N$3:N$12))*(N$3:N$12&lt;$BB$3:$BB$12))</f>
        <v>0</v>
      </c>
      <c r="O19" s="1">
        <f>SUMPRODUCT(NOT(ISBLANK(O$3:O$12))*(O$3:O$12&lt;$BC$3:$BC$12))</f>
        <v>0</v>
      </c>
      <c r="P19" s="1">
        <f>SUMPRODUCT(NOT(ISBLANK(P$3:P$12))*(P$3:P$12&lt;$AX$3:$AX$12))</f>
        <v>0</v>
      </c>
      <c r="Q19" s="1">
        <f>SUMPRODUCT(NOT(ISBLANK(Q$3:Q$12))*(Q$3:Q$12&lt;$AY$3:$AY$12))</f>
        <v>0</v>
      </c>
      <c r="R19" s="1"/>
      <c r="S19" s="1">
        <f>SUMPRODUCT(NOT(ISBLANK(S$3:S$12))*(S$3:S$12&lt;$AZ$3:$AZ$12))</f>
        <v>0</v>
      </c>
      <c r="T19" s="1">
        <f>SUMPRODUCT(NOT(ISBLANK(T$3:T$12))*(T$3:T$12&lt;$BA$3:$BA$12))</f>
        <v>0</v>
      </c>
      <c r="U19" s="1">
        <f>SUMPRODUCT(NOT(ISBLANK(U$3:U$12))*(U$3:U$12&lt;$BB$3:$BB$12))</f>
        <v>0</v>
      </c>
      <c r="V19" s="1">
        <f>SUMPRODUCT(NOT(ISBLANK(V$3:V$12))*(V$3:V$12&lt;$BC$3:$BC$12))</f>
        <v>0</v>
      </c>
      <c r="W19" s="1">
        <f>SUMPRODUCT(NOT(ISBLANK(W$3:W$12))*(W$3:W$12&lt;$AX$3:$AX$12))</f>
        <v>0</v>
      </c>
      <c r="X19" s="1">
        <f>SUMPRODUCT(NOT(ISBLANK(X$3:X$12))*(X$3:X$12&lt;$AY$3:$AY$12))</f>
        <v>0</v>
      </c>
      <c r="Y19" s="1"/>
      <c r="Z19" s="1">
        <f>SUMPRODUCT(NOT(ISBLANK(Z$3:Z$12))*(Z$3:Z$12&lt;$AZ$3:$AZ$12))</f>
        <v>0</v>
      </c>
      <c r="AA19" s="1">
        <f>SUMPRODUCT(NOT(ISBLANK(AA$3:AA$12))*(AA$3:AA$12&lt;$BA$3:$BA$12))</f>
        <v>0</v>
      </c>
      <c r="AB19" s="1">
        <f>SUMPRODUCT(NOT(ISBLANK(AB$3:AB$12))*(AB$3:AB$12&lt;$BB$3:$BB$12))</f>
        <v>0</v>
      </c>
      <c r="AC19" s="1">
        <f>SUMPRODUCT(NOT(ISBLANK(AC$3:AC$12))*(AC$3:AC$12&lt;$BC$3:$BC$12))</f>
        <v>0</v>
      </c>
      <c r="AD19" s="1">
        <f>SUMPRODUCT(NOT(ISBLANK(AD$3:AD$12))*(AD$3:AD$12&lt;$AX$3:$AX$12))</f>
        <v>0</v>
      </c>
      <c r="AE19" s="1">
        <f>SUMPRODUCT(NOT(ISBLANK(AE$3:AE$12))*(AE$3:AE$12&lt;$AY$3:$AY$12))</f>
        <v>0</v>
      </c>
      <c r="AF19" s="1"/>
      <c r="AG19" s="1">
        <f>SUMPRODUCT(NOT(ISBLANK(AG$3:AG$12))*(AG$3:AG$12&lt;$AZ$3:$AZ$12))</f>
        <v>0</v>
      </c>
      <c r="AH19" s="1">
        <f>SUMPRODUCT(NOT(ISBLANK(AH$3:AH$12))*(AH$3:AH$12&lt;$BA$3:$BA$12))</f>
        <v>0</v>
      </c>
      <c r="AI19" s="1">
        <f>SUMPRODUCT(NOT(ISBLANK(AI$3:AI$12))*(AI$3:AI$12&lt;$BB$3:$BB$12))</f>
        <v>0</v>
      </c>
      <c r="AJ19" s="1">
        <f>SUMPRODUCT(NOT(ISBLANK(AJ$3:AJ$12))*(AJ$3:AJ$12&lt;$BC$3:$BC$12))</f>
        <v>0</v>
      </c>
      <c r="AK19" s="1">
        <f>SUMPRODUCT(NOT(ISBLANK(AK$3:AK$12))*(AK$3:AK$12&lt;$AX$3:$AX$12))</f>
        <v>0</v>
      </c>
      <c r="AL19" s="1">
        <f>SUMPRODUCT(NOT(ISBLANK(AL$3:AL$12))*(AL$3:AL$12&lt;$AY$3:$AY$12))</f>
        <v>0</v>
      </c>
      <c r="AM19" s="1"/>
      <c r="AN19" s="1">
        <f>SUMPRODUCT(NOT(ISBLANK(AN$3:AN$12))*(AN$3:AN$12&lt;$AZ$3:$AZ$12))</f>
        <v>0</v>
      </c>
      <c r="AO19" s="1">
        <f>SUMPRODUCT(NOT(ISBLANK(AO$3:AO$12))*(AO$3:AO$12&lt;$BA$3:$BA$12))</f>
        <v>0</v>
      </c>
      <c r="AP19" s="1">
        <f>SUMPRODUCT(NOT(ISBLANK(AP$3:AP$12))*(AP$3:AP$12&lt;$BB$3:$BB$12))</f>
        <v>0</v>
      </c>
      <c r="AQ19" s="1">
        <f>SUMPRODUCT(NOT(ISBLANK(AQ$3:AQ$12))*(AQ$3:AQ$12&lt;$BC$3:$BC$12))</f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>
      <c r="A20" s="1" t="s">
        <v>16</v>
      </c>
      <c r="B20" s="1">
        <f>SUMPRODUCT((NOT(ISBLANK(B$3:B$12))*(B$3:B$12&gt;$AX$3:$AX$12))+ISBLANK(B$3:B$12))</f>
        <v>0</v>
      </c>
      <c r="C20" s="1">
        <f>SUMPRODUCT((NOT(ISBLANK(C$3:C$12))*(C$3:C$12&gt;$AY$3:$AY$12))+ISBLANK(C$3:C$12))</f>
        <v>0</v>
      </c>
      <c r="D20" s="1"/>
      <c r="E20" s="1">
        <f>SUMPRODUCT((NOT(ISBLANK(E$3:E$12))*(E$3:E$12&gt;$AZ$3:$AZ$12))+ISBLANK(E$3:E$12))</f>
        <v>0</v>
      </c>
      <c r="F20" s="1">
        <f>SUMPRODUCT((NOT(ISBLANK(F$3:F$12))*(F$3:F$12&gt;$BA$3:$BA$12))+ISBLANK(F$3:F$12))</f>
        <v>0</v>
      </c>
      <c r="G20" s="1">
        <f>SUMPRODUCT((NOT(ISBLANK(G$3:G$12))*(G$3:G$12&gt;$BB$3:$BB$12))+ISBLANK(G$3:G$12))</f>
        <v>0</v>
      </c>
      <c r="H20" s="1">
        <f>SUMPRODUCT((NOT(ISBLANK(H$3:H$12))*(H$3:H$12&gt;$BC$3:$BC$12))+ISBLANK(H$3:H$12))</f>
        <v>0</v>
      </c>
      <c r="I20" s="1">
        <f>SUMPRODUCT((NOT(ISBLANK(I$3:I$12))*(I$3:I$12&gt;$AX$3:$AX$12))+ISBLANK(I$3:I$12))</f>
        <v>0</v>
      </c>
      <c r="J20" s="1">
        <f>SUMPRODUCT((NOT(ISBLANK(J$3:J$12))*(J$3:J$12&gt;$AY$3:$AY$12))+ISBLANK(J$3:J$12))</f>
        <v>0</v>
      </c>
      <c r="K20" s="1"/>
      <c r="L20" s="1">
        <f>SUMPRODUCT((NOT(ISBLANK(L$3:L$12))*(L$3:L$12&gt;$AZ$3:$AZ$12))+ISBLANK(L$3:L$12))</f>
        <v>0</v>
      </c>
      <c r="M20" s="1">
        <f>SUMPRODUCT((NOT(ISBLANK(M$3:M$12))*(M$3:M$12&gt;$BA$3:$BA$12))+ISBLANK(M$3:M$12))</f>
        <v>0</v>
      </c>
      <c r="N20" s="1">
        <f>SUMPRODUCT((NOT(ISBLANK(N$3:N$12))*(N$3:N$12&gt;$BB$3:$BB$12))+ISBLANK(N$3:N$12))</f>
        <v>0</v>
      </c>
      <c r="O20" s="1">
        <f>SUMPRODUCT((NOT(ISBLANK(O$3:O$12))*(O$3:O$12&gt;$BC$3:$BC$12))+ISBLANK(O$3:O$12))</f>
        <v>0</v>
      </c>
      <c r="P20" s="1">
        <f>SUMPRODUCT((NOT(ISBLANK(P$3:P$12))*(P$3:P$12&gt;$AX$3:$AX$12))+ISBLANK(P$3:P$12))</f>
        <v>0</v>
      </c>
      <c r="Q20" s="1">
        <f>SUMPRODUCT((NOT(ISBLANK(Q$3:Q$12))*(Q$3:Q$12&gt;$AY$3:$AY$12))+ISBLANK(Q$3:Q$12))</f>
        <v>0</v>
      </c>
      <c r="R20" s="1"/>
      <c r="S20" s="1">
        <f>SUMPRODUCT((NOT(ISBLANK(S$3:S$12))*(S$3:S$12&gt;$AZ$3:$AZ$12))+ISBLANK(S$3:S$12))</f>
        <v>0</v>
      </c>
      <c r="T20" s="1">
        <f>SUMPRODUCT((NOT(ISBLANK(T$3:T$12))*(T$3:T$12&gt;$BA$3:$BA$12))+ISBLANK(T$3:T$12))</f>
        <v>0</v>
      </c>
      <c r="U20" s="1">
        <f>SUMPRODUCT((NOT(ISBLANK(U$3:U$12))*(U$3:U$12&gt;$BB$3:$BB$12))+ISBLANK(U$3:U$12))</f>
        <v>0</v>
      </c>
      <c r="V20" s="1">
        <f>SUMPRODUCT((NOT(ISBLANK(V$3:V$12))*(V$3:V$12&gt;$BC$3:$BC$12))+ISBLANK(V$3:V$12))</f>
        <v>0</v>
      </c>
      <c r="W20" s="1">
        <f>SUMPRODUCT((NOT(ISBLANK(W$3:W$12))*(W$3:W$12&gt;$AX$3:$AX$12))+ISBLANK(W$3:W$12))</f>
        <v>0</v>
      </c>
      <c r="X20" s="1">
        <f>SUMPRODUCT((NOT(ISBLANK(X$3:X$12))*(X$3:X$12&gt;$AY$3:$AY$12))+ISBLANK(X$3:X$12))</f>
        <v>0</v>
      </c>
      <c r="Y20" s="1"/>
      <c r="Z20" s="1">
        <f>SUMPRODUCT((NOT(ISBLANK(Z$3:Z$12))*(Z$3:Z$12&gt;$AZ$3:$AZ$12))+ISBLANK(Z$3:Z$12))</f>
        <v>0</v>
      </c>
      <c r="AA20" s="1">
        <f>SUMPRODUCT((NOT(ISBLANK(AA$3:AA$12))*(AA$3:AA$12&gt;$BA$3:$BA$12))+ISBLANK(AA$3:AA$12))</f>
        <v>0</v>
      </c>
      <c r="AB20" s="1">
        <f>SUMPRODUCT((NOT(ISBLANK(AB$3:AB$12))*(AB$3:AB$12&gt;$BB$3:$BB$12))+ISBLANK(AB$3:AB$12))</f>
        <v>0</v>
      </c>
      <c r="AC20" s="1">
        <f>SUMPRODUCT((NOT(ISBLANK(AC$3:AC$12))*(AC$3:AC$12&gt;$BC$3:$BC$12))+ISBLANK(AC$3:AC$12))</f>
        <v>0</v>
      </c>
      <c r="AD20" s="1">
        <f>SUMPRODUCT((NOT(ISBLANK(AD$3:AD$12))*(AD$3:AD$12&gt;$AX$3:$AX$12))+ISBLANK(AD$3:AD$12))</f>
        <v>0</v>
      </c>
      <c r="AE20" s="1">
        <f>SUMPRODUCT((NOT(ISBLANK(AE$3:AE$12))*(AE$3:AE$12&gt;$AY$3:$AY$12))+ISBLANK(AE$3:AE$12))</f>
        <v>0</v>
      </c>
      <c r="AF20" s="1"/>
      <c r="AG20" s="1">
        <f>SUMPRODUCT((NOT(ISBLANK(AG$3:AG$12))*(AG$3:AG$12&gt;$AZ$3:$AZ$12))+ISBLANK(AG$3:AG$12))</f>
        <v>0</v>
      </c>
      <c r="AH20" s="1">
        <f>SUMPRODUCT((NOT(ISBLANK(AH$3:AH$12))*(AH$3:AH$12&gt;$BA$3:$BA$12))+ISBLANK(AH$3:AH$12))</f>
        <v>0</v>
      </c>
      <c r="AI20" s="1">
        <f>SUMPRODUCT((NOT(ISBLANK(AI$3:AI$12))*(AI$3:AI$12&gt;$BB$3:$BB$12))+ISBLANK(AI$3:AI$12))</f>
        <v>0</v>
      </c>
      <c r="AJ20" s="1">
        <f>SUMPRODUCT((NOT(ISBLANK(AJ$3:AJ$12))*(AJ$3:AJ$12&gt;$BC$3:$BC$12))+ISBLANK(AJ$3:AJ$12))</f>
        <v>0</v>
      </c>
      <c r="AK20" s="1">
        <f>SUMPRODUCT((NOT(ISBLANK(AK$3:AK$12))*(AK$3:AK$12&gt;$AX$3:$AX$12))+ISBLANK(AK$3:AK$12))</f>
        <v>0</v>
      </c>
      <c r="AL20" s="1">
        <f>SUMPRODUCT((NOT(ISBLANK(AL$3:AL$12))*(AL$3:AL$12&gt;$AY$3:$AY$12))+ISBLANK(AL$3:AL$12))</f>
        <v>0</v>
      </c>
      <c r="AM20" s="1"/>
      <c r="AN20" s="1">
        <f>SUMPRODUCT((NOT(ISBLANK(AN$3:AN$12))*(AN$3:AN$12&gt;$AZ$3:$AZ$12))+ISBLANK(AN$3:AN$12))</f>
        <v>0</v>
      </c>
      <c r="AO20" s="1">
        <f>SUMPRODUCT((NOT(ISBLANK(AO$3:AO$12))*(AO$3:AO$12&gt;$BA$3:$BA$12))+ISBLANK(AO$3:AO$12))</f>
        <v>0</v>
      </c>
      <c r="AP20" s="1">
        <f>SUMPRODUCT((NOT(ISBLANK(AP$3:AP$12))*(AP$3:AP$12&gt;$BB$3:$BB$12))+ISBLANK(AP$3:AP$12))</f>
        <v>0</v>
      </c>
      <c r="AQ20" s="1">
        <f>SUMPRODUCT((NOT(ISBLANK(AQ$3:AQ$12))*(AQ$3:AQ$12&gt;$BC$3:$BC$12))+ISBLANK(AQ$3:AQ$12))</f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>
      <c r="A21" s="1" t="s">
        <v>17</v>
      </c>
      <c r="B21" s="1">
        <f>SUMPRODUCT((NOT(ISBLANK(B$3:B$12))*(B$3:B$12=$BD$3:$BD$12))+ISBLANK(B$3:B$12))</f>
        <v>0</v>
      </c>
      <c r="C21" s="1">
        <f>SUMPRODUCT((NOT(ISBLANK(C$3:C$12))*(C$3:C$12=$BE$3:$BE$12))+ISBLANK(C$3:C$12))</f>
        <v>0</v>
      </c>
      <c r="D21" s="1"/>
      <c r="E21" s="1">
        <f>SUMPRODUCT((NOT(ISBLANK(E$3:E$12))*(E$3:E$12=$BF$3:$BF$12))+ISBLANK(E$3:E$12))</f>
        <v>0</v>
      </c>
      <c r="F21" s="1">
        <f>SUMPRODUCT((NOT(ISBLANK(F$3:F$12))*(F$3:F$12=$BG$3:$BG$12))+ISBLANK(F$3:F$12))</f>
        <v>0</v>
      </c>
      <c r="G21" s="1">
        <f>SUMPRODUCT((NOT(ISBLANK(G$3:G$12))*(G$3:G$12=$BH$3:$BH$12))+ISBLANK(G$3:G$12))</f>
        <v>0</v>
      </c>
      <c r="H21" s="1">
        <f>SUMPRODUCT((NOT(ISBLANK(H$3:H$12))*(H$3:H$12=$BI$3:$BI$12))+ISBLANK(H$3:H$12))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/>
      <c r="L21" s="1">
        <f>SUMPRODUCT((NOT(ISBLANK(L$3:L$12))*(L$3:L$12=$BF$3:$BF$12))+ISBLANK(L$3:L$12))</f>
        <v>0</v>
      </c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>
        <f>SUMPRODUCT((NOT(ISBLANK(O$3:O$12))*(O$3:O$12=$BI$3:$BI$12))+ISBLANK(O$3:O$12))</f>
        <v>0</v>
      </c>
      <c r="P21" s="1">
        <f>SUMPRODUCT((NOT(ISBLANK(P$3:P$12))*(P$3:P$12=$BD$3:$BD$12))+ISBLANK(P$3:P$12))</f>
        <v>0</v>
      </c>
      <c r="Q21" s="1">
        <f>SUMPRODUCT((NOT(ISBLANK(Q$3:Q$12))*(Q$3:Q$12=$BE$3:$BE$12))+ISBLANK(Q$3:Q$12))</f>
        <v>0</v>
      </c>
      <c r="R21" s="1"/>
      <c r="S21" s="1">
        <f>SUMPRODUCT((NOT(ISBLANK(S$3:S$12))*(S$3:S$12=$BF$3:$BF$12))+ISBLANK(S$3:S$12))</f>
        <v>0</v>
      </c>
      <c r="T21" s="1">
        <f>SUMPRODUCT((NOT(ISBLANK(T$3:T$12))*(T$3:T$12=$BG$3:$BG$12))+ISBLANK(T$3:T$12))</f>
        <v>0</v>
      </c>
      <c r="U21" s="1">
        <f>SUMPRODUCT((NOT(ISBLANK(U$3:U$12))*(U$3:U$12=$BH$3:$BH$12))+ISBLANK(U$3:U$12))</f>
        <v>0</v>
      </c>
      <c r="V21" s="1">
        <f>SUMPRODUCT((NOT(ISBLANK(V$3:V$12))*(V$3:V$12=$BI$3:$BI$12))+ISBLANK(V$3:V$12))</f>
        <v>0</v>
      </c>
      <c r="W21" s="1">
        <f>SUMPRODUCT((NOT(ISBLANK(W$3:W$12))*(W$3:W$12=$BD$3:$BD$12))+ISBLANK(W$3:W$12))</f>
        <v>0</v>
      </c>
      <c r="X21" s="1">
        <f>SUMPRODUCT((NOT(ISBLANK(X$3:X$12))*(X$3:X$12=$BE$3:$BE$12))+ISBLANK(X$3:X$12))</f>
        <v>0</v>
      </c>
      <c r="Y21" s="1"/>
      <c r="Z21" s="1">
        <f>SUMPRODUCT((NOT(ISBLANK(Z$3:Z$12))*(Z$3:Z$12=$BF$3:$BF$12))+ISBLANK(Z$3:Z$12))</f>
        <v>0</v>
      </c>
      <c r="AA21" s="1">
        <f>SUMPRODUCT((NOT(ISBLANK(AA$3:AA$12))*(AA$3:AA$12=$BG$3:$BG$12))+ISBLANK(AA$3:AA$12))</f>
        <v>0</v>
      </c>
      <c r="AB21" s="1">
        <f>SUMPRODUCT((NOT(ISBLANK(AB$3:AB$12))*(AB$3:AB$12=$BH$3:$BH$12))+ISBLANK(AB$3:AB$12))</f>
        <v>0</v>
      </c>
      <c r="AC21" s="1">
        <f>SUMPRODUCT((NOT(ISBLANK(AC$3:AC$12))*(AC$3:AC$12=$BI$3:$BI$12))+ISBLANK(AC$3:AC$12))</f>
        <v>0</v>
      </c>
      <c r="AD21" s="1">
        <f>SUMPRODUCT((NOT(ISBLANK(AD$3:AD$12))*(AD$3:AD$12=$BD$3:$BD$12))+ISBLANK(AD$3:AD$12))</f>
        <v>0</v>
      </c>
      <c r="AE21" s="1">
        <f>SUMPRODUCT((NOT(ISBLANK(AE$3:AE$12))*(AE$3:AE$12=$BE$3:$BE$12))+ISBLANK(AE$3:AE$12))</f>
        <v>0</v>
      </c>
      <c r="AF21" s="1"/>
      <c r="AG21" s="1">
        <f>SUMPRODUCT((NOT(ISBLANK(AG$3:AG$12))*(AG$3:AG$12=$BF$3:$BF$12))+ISBLANK(AG$3:AG$12))</f>
        <v>0</v>
      </c>
      <c r="AH21" s="1">
        <f>SUMPRODUCT((NOT(ISBLANK(AH$3:AH$12))*(AH$3:AH$12=$BG$3:$BG$12))+ISBLANK(AH$3:AH$12))</f>
        <v>0</v>
      </c>
      <c r="AI21" s="1">
        <f>SUMPRODUCT((NOT(ISBLANK(AI$3:AI$12))*(AI$3:AI$12=$BH$3:$BH$12))+ISBLANK(AI$3:AI$12))</f>
        <v>0</v>
      </c>
      <c r="AJ21" s="1">
        <f>SUMPRODUCT((NOT(ISBLANK(AJ$3:AJ$12))*(AJ$3:AJ$12=$BI$3:$BI$12))+ISBLANK(AJ$3:AJ$12))</f>
        <v>0</v>
      </c>
      <c r="AK21" s="1">
        <f>SUMPRODUCT((NOT(ISBLANK(AK$3:AK$12))*(AK$3:AK$12=$BD$3:$BD$12))+ISBLANK(AK$3:AK$12))</f>
        <v>0</v>
      </c>
      <c r="AL21" s="1">
        <f>SUMPRODUCT((NOT(ISBLANK(AL$3:AL$12))*(AL$3:AL$12=$BE$3:$BE$12))+ISBLANK(AL$3:AL$12))</f>
        <v>0</v>
      </c>
      <c r="AM21" s="1"/>
      <c r="AN21" s="1">
        <f>SUMPRODUCT((NOT(ISBLANK(AN$3:AN$12))*(AN$3:AN$12=$BF$3:$BF$12))+ISBLANK(AN$3:AN$12))</f>
        <v>0</v>
      </c>
      <c r="AO21" s="1">
        <f>SUMPRODUCT((NOT(ISBLANK(AO$3:AO$12))*(AO$3:AO$12=$BG$3:$BG$12))+ISBLANK(AO$3:AO$12))</f>
        <v>0</v>
      </c>
      <c r="AP21" s="1">
        <f>SUMPRODUCT((NOT(ISBLANK(AP$3:AP$12))*(AP$3:AP$12=$BH$3:$BH$12))+ISBLANK(AP$3:AP$12))</f>
        <v>0</v>
      </c>
      <c r="AQ21" s="1">
        <f>SUMPRODUCT((NOT(ISBLANK(AQ$3:AQ$12))*(AQ$3:AQ$12=$BI$3:$BI$12))+ISBLANK(AQ$3:AQ$12))</f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61" width="11.42578125" customWidth="1"/>
  </cols>
  <sheetData>
    <row r="1" spans="1:61">
      <c r="A1" s="1" t="s">
        <v>35</v>
      </c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/>
      <c r="AD1" s="1" t="s">
        <v>30</v>
      </c>
      <c r="AE1" s="1"/>
      <c r="AF1" s="1"/>
      <c r="AG1" s="1"/>
      <c r="AH1" s="1"/>
      <c r="AI1" s="1"/>
      <c r="AJ1" s="1"/>
      <c r="AK1" s="1" t="s">
        <v>31</v>
      </c>
      <c r="AL1" s="1"/>
      <c r="AM1" s="1"/>
      <c r="AN1" s="1"/>
      <c r="AO1" s="1"/>
      <c r="AP1" s="1"/>
      <c r="AQ1" s="1"/>
      <c r="AR1" s="1" t="s">
        <v>32</v>
      </c>
      <c r="AS1" s="1"/>
      <c r="AT1" s="1"/>
      <c r="AU1" s="1"/>
      <c r="AV1" s="1"/>
      <c r="AW1" s="1"/>
      <c r="AX1" s="1" t="s">
        <v>33</v>
      </c>
      <c r="AY1" s="1"/>
      <c r="AZ1" s="1"/>
      <c r="BA1" s="1"/>
      <c r="BB1" s="1"/>
      <c r="BC1" s="1"/>
      <c r="BD1" s="1" t="s">
        <v>34</v>
      </c>
      <c r="BE1" s="1"/>
      <c r="BF1" s="1"/>
      <c r="BG1" s="1"/>
      <c r="BH1" s="1"/>
      <c r="BI1" s="1"/>
    </row>
    <row r="2" spans="1:61">
      <c r="A2" s="2" t="s">
        <v>33</v>
      </c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  <c r="AI2" s="1" t="s">
        <v>25</v>
      </c>
      <c r="AJ2" s="1" t="s">
        <v>26</v>
      </c>
      <c r="AK2" s="1" t="s">
        <v>19</v>
      </c>
      <c r="AL2" s="1" t="s">
        <v>20</v>
      </c>
      <c r="AM2" s="1" t="s">
        <v>21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19</v>
      </c>
      <c r="AS2" s="1" t="s">
        <v>20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19</v>
      </c>
      <c r="AY2" s="1" t="s">
        <v>20</v>
      </c>
      <c r="AZ2" s="1" t="s">
        <v>23</v>
      </c>
      <c r="BA2" s="1" t="s">
        <v>24</v>
      </c>
      <c r="BB2" s="1" t="s">
        <v>25</v>
      </c>
      <c r="BC2" s="1" t="s">
        <v>26</v>
      </c>
      <c r="BD2" s="1" t="s">
        <v>19</v>
      </c>
      <c r="BE2" s="1" t="s">
        <v>20</v>
      </c>
      <c r="BF2" s="1" t="s">
        <v>23</v>
      </c>
      <c r="BG2" s="1" t="s">
        <v>24</v>
      </c>
      <c r="BH2" s="1" t="s">
        <v>25</v>
      </c>
      <c r="BI2" s="1" t="s">
        <v>26</v>
      </c>
    </row>
    <row r="3" spans="1:61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/>
      <c r="G4" s="1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/>
      <c r="K4" s="1"/>
      <c r="L4" s="1"/>
      <c r="M4" s="1"/>
      <c r="N4" s="1"/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/>
      <c r="R4" s="1"/>
      <c r="S4" s="1"/>
      <c r="T4" s="1"/>
      <c r="U4" s="1"/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/>
      <c r="Y4" s="1"/>
      <c r="Z4" s="1"/>
      <c r="AA4" s="1"/>
      <c r="AB4" s="1"/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/>
      <c r="AF4" s="1"/>
      <c r="AG4" s="1"/>
      <c r="AH4" s="1"/>
      <c r="AI4" s="1"/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/>
      <c r="AM4" s="1"/>
      <c r="AN4" s="1"/>
      <c r="AO4" s="1"/>
      <c r="AP4" s="1"/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>
        <f>MIN($B4,$I4,$P4,$W4,$AD4,$AK4)</f>
        <v>0</v>
      </c>
      <c r="AS4" s="1"/>
      <c r="AT4" s="1"/>
      <c r="AU4" s="1"/>
      <c r="AV4" s="1"/>
      <c r="AW4" s="1">
        <f>MIN($H4,$O4,$V4,$AC4,$AJ4,$AQ4)</f>
        <v>0</v>
      </c>
      <c r="AX4" s="1">
        <f>MEDIAN($B4,$I4,$P4,$W4,$AD4,$AK4)</f>
        <v>0</v>
      </c>
      <c r="AY4" s="1"/>
      <c r="AZ4" s="1"/>
      <c r="BA4" s="1"/>
      <c r="BB4" s="1"/>
      <c r="BC4" s="1">
        <f>MEDIAN($H4,$O4,$V4,$AC4,$AJ4,$AQ4)</f>
        <v>0</v>
      </c>
      <c r="BD4" s="1">
        <f>MAX($B4,$I4,$P4,$W4,$AD4,$AK4)</f>
        <v>0</v>
      </c>
      <c r="BE4" s="1"/>
      <c r="BF4" s="1"/>
      <c r="BG4" s="1"/>
      <c r="BH4" s="1"/>
      <c r="BI4" s="1">
        <f>MAX($H4,$O4,$V4,$AC4,$AJ4,$AQ4)</f>
        <v>0</v>
      </c>
    </row>
    <row r="5" spans="1:61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/>
      <c r="D5" s="1"/>
      <c r="E5" s="1"/>
      <c r="F5" s="1"/>
      <c r="G5" s="1"/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/>
      <c r="K5" s="1"/>
      <c r="L5" s="1"/>
      <c r="M5" s="1"/>
      <c r="N5" s="1"/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/>
      <c r="R5" s="1"/>
      <c r="S5" s="1"/>
      <c r="T5" s="1"/>
      <c r="U5" s="1"/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/>
      <c r="Y5" s="1"/>
      <c r="Z5" s="1"/>
      <c r="AA5" s="1"/>
      <c r="AB5" s="1"/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/>
      <c r="AF5" s="1"/>
      <c r="AG5" s="1"/>
      <c r="AH5" s="1"/>
      <c r="AI5" s="1"/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/>
      <c r="AM5" s="1"/>
      <c r="AN5" s="1"/>
      <c r="AO5" s="1"/>
      <c r="AP5" s="1"/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>
        <f>MIN($B5,$I5,$P5,$W5,$AD5,$AK5)</f>
        <v>0</v>
      </c>
      <c r="AS5" s="1"/>
      <c r="AT5" s="1"/>
      <c r="AU5" s="1"/>
      <c r="AV5" s="1"/>
      <c r="AW5" s="1">
        <f>MIN($H5,$O5,$V5,$AC5,$AJ5,$AQ5)</f>
        <v>0</v>
      </c>
      <c r="AX5" s="1">
        <f>MEDIAN($B5,$I5,$P5,$W5,$AD5,$AK5)</f>
        <v>0</v>
      </c>
      <c r="AY5" s="1"/>
      <c r="AZ5" s="1"/>
      <c r="BA5" s="1"/>
      <c r="BB5" s="1"/>
      <c r="BC5" s="1">
        <f>MEDIAN($H5,$O5,$V5,$AC5,$AJ5,$AQ5)</f>
        <v>0</v>
      </c>
      <c r="BD5" s="1">
        <f>MAX($B5,$I5,$P5,$W5,$AD5,$AK5)</f>
        <v>0</v>
      </c>
      <c r="BE5" s="1"/>
      <c r="BF5" s="1"/>
      <c r="BG5" s="1"/>
      <c r="BH5" s="1"/>
      <c r="BI5" s="1">
        <f>MAX($H5,$O5,$V5,$AC5,$AJ5,$AQ5)</f>
        <v>0</v>
      </c>
    </row>
    <row r="6" spans="1:61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/>
      <c r="D6" s="1"/>
      <c r="E6" s="1"/>
      <c r="F6" s="1"/>
      <c r="G6" s="1"/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/>
      <c r="K6" s="1"/>
      <c r="L6" s="1"/>
      <c r="M6" s="1"/>
      <c r="N6" s="1"/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/>
      <c r="R6" s="1"/>
      <c r="S6" s="1"/>
      <c r="T6" s="1"/>
      <c r="U6" s="1"/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 cm="1">
        <f t="array" ref="W6">_xlfn.SWITCH($A$2,"average", AVERAGE(Instances!W6:Instances!W6),"median", MEDIAN(Instances!W6:Instances!W6),"min", MIN(Instances!W6:Instances!W6),"max", MAX(Instances!W6:Instances!W6),"diff", MAX(Instances!W6:Instances!W6)-MIN(Instances!W6:Instances!W6))</f>
        <v>0</v>
      </c>
      <c r="X6" s="1"/>
      <c r="Y6" s="1"/>
      <c r="Z6" s="1"/>
      <c r="AA6" s="1"/>
      <c r="AB6" s="1"/>
      <c r="AC6" s="1" cm="1">
        <f t="array" ref="AC6">_xlfn.SWITCH($A$2,"average", AVERAGE(Instances!AC6:Instances!AC6),"median", MEDIAN(Instances!AC6:Instances!AC6),"min", MIN(Instances!AC6:Instances!AC6),"max", MAX(Instances!AC6:Instances!AC6),"diff", MAX(Instances!AC6:Instances!AC6)-MIN(Instances!AC6:Instances!AC6))</f>
        <v>0</v>
      </c>
      <c r="AD6" s="1" cm="1">
        <f t="array" ref="AD6">_xlfn.SWITCH($A$2,"average", AVERAGE(Instances!AD6:Instances!AD6),"median", MEDIAN(Instances!AD6:Instances!AD6),"min", MIN(Instances!AD6:Instances!AD6),"max", MAX(Instances!AD6:Instances!AD6),"diff", MAX(Instances!AD6:Instances!AD6)-MIN(Instances!AD6:Instances!AD6))</f>
        <v>0</v>
      </c>
      <c r="AE6" s="1"/>
      <c r="AF6" s="1"/>
      <c r="AG6" s="1"/>
      <c r="AH6" s="1"/>
      <c r="AI6" s="1"/>
      <c r="AJ6" s="1" cm="1">
        <f t="array" ref="AJ6">_xlfn.SWITCH($A$2,"average", AVERAGE(Instances!AJ6:Instances!AJ6),"median", MEDIAN(Instances!AJ6:Instances!AJ6),"min", MIN(Instances!AJ6:Instances!AJ6),"max", MAX(Instances!AJ6:Instances!AJ6),"diff", MAX(Instances!AJ6:Instances!AJ6)-MIN(Instances!AJ6:Instances!AJ6))</f>
        <v>0</v>
      </c>
      <c r="AK6" s="1" cm="1">
        <f t="array" ref="AK6">_xlfn.SWITCH($A$2,"average", AVERAGE(Instances!AK6:Instances!AK6),"median", MEDIAN(Instances!AK6:Instances!AK6),"min", MIN(Instances!AK6:Instances!AK6),"max", MAX(Instances!AK6:Instances!AK6),"diff", MAX(Instances!AK6:Instances!AK6)-MIN(Instances!AK6:Instances!AK6))</f>
        <v>0</v>
      </c>
      <c r="AL6" s="1"/>
      <c r="AM6" s="1"/>
      <c r="AN6" s="1"/>
      <c r="AO6" s="1"/>
      <c r="AP6" s="1"/>
      <c r="AQ6" s="1" cm="1">
        <f t="array" ref="AQ6">_xlfn.SWITCH($A$2,"average", AVERAGE(Instances!AQ6:Instances!AQ6),"median", MEDIAN(Instances!AQ6:Instances!AQ6),"min", MIN(Instances!AQ6:Instances!AQ6),"max", MAX(Instances!AQ6:Instances!AQ6),"diff", MAX(Instances!AQ6:Instances!AQ6)-MIN(Instances!AQ6:Instances!AQ6))</f>
        <v>0</v>
      </c>
      <c r="AR6" s="1">
        <f>MIN($B6,$I6,$P6,$W6,$AD6,$AK6)</f>
        <v>0</v>
      </c>
      <c r="AS6" s="1"/>
      <c r="AT6" s="1"/>
      <c r="AU6" s="1"/>
      <c r="AV6" s="1"/>
      <c r="AW6" s="1">
        <f>MIN($H6,$O6,$V6,$AC6,$AJ6,$AQ6)</f>
        <v>0</v>
      </c>
      <c r="AX6" s="1">
        <f>MEDIAN($B6,$I6,$P6,$W6,$AD6,$AK6)</f>
        <v>0</v>
      </c>
      <c r="AY6" s="1"/>
      <c r="AZ6" s="1"/>
      <c r="BA6" s="1"/>
      <c r="BB6" s="1"/>
      <c r="BC6" s="1">
        <f>MEDIAN($H6,$O6,$V6,$AC6,$AJ6,$AQ6)</f>
        <v>0</v>
      </c>
      <c r="BD6" s="1">
        <f>MAX($B6,$I6,$P6,$W6,$AD6,$AK6)</f>
        <v>0</v>
      </c>
      <c r="BE6" s="1"/>
      <c r="BF6" s="1"/>
      <c r="BG6" s="1"/>
      <c r="BH6" s="1"/>
      <c r="BI6" s="1">
        <f>MAX($H6,$O6,$V6,$AC6,$AJ6,$AQ6)</f>
        <v>0</v>
      </c>
    </row>
    <row r="7" spans="1:61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/>
      <c r="D7" s="1"/>
      <c r="E7" s="1"/>
      <c r="F7" s="1"/>
      <c r="G7" s="1"/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/>
      <c r="K7" s="1"/>
      <c r="L7" s="1"/>
      <c r="M7" s="1"/>
      <c r="N7" s="1"/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/>
      <c r="R7" s="1"/>
      <c r="S7" s="1"/>
      <c r="T7" s="1"/>
      <c r="U7" s="1"/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 cm="1">
        <f t="array" ref="W7">_xlfn.SWITCH($A$2,"average", AVERAGE(Instances!W7:Instances!W7),"median", MEDIAN(Instances!W7:Instances!W7),"min", MIN(Instances!W7:Instances!W7),"max", MAX(Instances!W7:Instances!W7),"diff", MAX(Instances!W7:Instances!W7)-MIN(Instances!W7:Instances!W7))</f>
        <v>0</v>
      </c>
      <c r="X7" s="1"/>
      <c r="Y7" s="1"/>
      <c r="Z7" s="1"/>
      <c r="AA7" s="1"/>
      <c r="AB7" s="1"/>
      <c r="AC7" s="1" cm="1">
        <f t="array" ref="AC7">_xlfn.SWITCH($A$2,"average", AVERAGE(Instances!AC7:Instances!AC7),"median", MEDIAN(Instances!AC7:Instances!AC7),"min", MIN(Instances!AC7:Instances!AC7),"max", MAX(Instances!AC7:Instances!AC7),"diff", MAX(Instances!AC7:Instances!AC7)-MIN(Instances!AC7:Instances!AC7))</f>
        <v>0</v>
      </c>
      <c r="AD7" s="1" cm="1">
        <f t="array" ref="AD7">_xlfn.SWITCH($A$2,"average", AVERAGE(Instances!AD7:Instances!AD7),"median", MEDIAN(Instances!AD7:Instances!AD7),"min", MIN(Instances!AD7:Instances!AD7),"max", MAX(Instances!AD7:Instances!AD7),"diff", MAX(Instances!AD7:Instances!AD7)-MIN(Instances!AD7:Instances!AD7))</f>
        <v>0</v>
      </c>
      <c r="AE7" s="1"/>
      <c r="AF7" s="1"/>
      <c r="AG7" s="1"/>
      <c r="AH7" s="1"/>
      <c r="AI7" s="1"/>
      <c r="AJ7" s="1" cm="1">
        <f t="array" ref="AJ7">_xlfn.SWITCH($A$2,"average", AVERAGE(Instances!AJ7:Instances!AJ7),"median", MEDIAN(Instances!AJ7:Instances!AJ7),"min", MIN(Instances!AJ7:Instances!AJ7),"max", MAX(Instances!AJ7:Instances!AJ7),"diff", MAX(Instances!AJ7:Instances!AJ7)-MIN(Instances!AJ7:Instances!AJ7))</f>
        <v>0</v>
      </c>
      <c r="AK7" s="1" cm="1">
        <f t="array" ref="AK7">_xlfn.SWITCH($A$2,"average", AVERAGE(Instances!AK7:Instances!AK7),"median", MEDIAN(Instances!AK7:Instances!AK7),"min", MIN(Instances!AK7:Instances!AK7),"max", MAX(Instances!AK7:Instances!AK7),"diff", MAX(Instances!AK7:Instances!AK7)-MIN(Instances!AK7:Instances!AK7))</f>
        <v>0</v>
      </c>
      <c r="AL7" s="1"/>
      <c r="AM7" s="1"/>
      <c r="AN7" s="1"/>
      <c r="AO7" s="1"/>
      <c r="AP7" s="1"/>
      <c r="AQ7" s="1" cm="1">
        <f t="array" ref="AQ7">_xlfn.SWITCH($A$2,"average", AVERAGE(Instances!AQ7:Instances!AQ7),"median", MEDIAN(Instances!AQ7:Instances!AQ7),"min", MIN(Instances!AQ7:Instances!AQ7),"max", MAX(Instances!AQ7:Instances!AQ7),"diff", MAX(Instances!AQ7:Instances!AQ7)-MIN(Instances!AQ7:Instances!AQ7))</f>
        <v>0</v>
      </c>
      <c r="AR7" s="1">
        <f>MIN($B7,$I7,$P7,$W7,$AD7,$AK7)</f>
        <v>0</v>
      </c>
      <c r="AS7" s="1"/>
      <c r="AT7" s="1"/>
      <c r="AU7" s="1"/>
      <c r="AV7" s="1"/>
      <c r="AW7" s="1">
        <f>MIN($H7,$O7,$V7,$AC7,$AJ7,$AQ7)</f>
        <v>0</v>
      </c>
      <c r="AX7" s="1">
        <f>MEDIAN($B7,$I7,$P7,$W7,$AD7,$AK7)</f>
        <v>0</v>
      </c>
      <c r="AY7" s="1"/>
      <c r="AZ7" s="1"/>
      <c r="BA7" s="1"/>
      <c r="BB7" s="1"/>
      <c r="BC7" s="1">
        <f>MEDIAN($H7,$O7,$V7,$AC7,$AJ7,$AQ7)</f>
        <v>0</v>
      </c>
      <c r="BD7" s="1">
        <f>MAX($B7,$I7,$P7,$W7,$AD7,$AK7)</f>
        <v>0</v>
      </c>
      <c r="BE7" s="1"/>
      <c r="BF7" s="1"/>
      <c r="BG7" s="1"/>
      <c r="BH7" s="1"/>
      <c r="BI7" s="1">
        <f>MAX($H7,$O7,$V7,$AC7,$AJ7,$AQ7)</f>
        <v>0</v>
      </c>
    </row>
    <row r="8" spans="1:61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/>
      <c r="D8" s="1"/>
      <c r="E8" s="1"/>
      <c r="F8" s="1"/>
      <c r="G8" s="1"/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/>
      <c r="K8" s="1"/>
      <c r="L8" s="1"/>
      <c r="M8" s="1"/>
      <c r="N8" s="1"/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/>
      <c r="R8" s="1"/>
      <c r="S8" s="1"/>
      <c r="T8" s="1"/>
      <c r="U8" s="1"/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 cm="1">
        <f t="array" ref="W8">_xlfn.SWITCH($A$2,"average", AVERAGE(Instances!W8:Instances!W8),"median", MEDIAN(Instances!W8:Instances!W8),"min", MIN(Instances!W8:Instances!W8),"max", MAX(Instances!W8:Instances!W8),"diff", MAX(Instances!W8:Instances!W8)-MIN(Instances!W8:Instances!W8))</f>
        <v>0</v>
      </c>
      <c r="X8" s="1"/>
      <c r="Y8" s="1"/>
      <c r="Z8" s="1"/>
      <c r="AA8" s="1"/>
      <c r="AB8" s="1"/>
      <c r="AC8" s="1" cm="1">
        <f t="array" ref="AC8">_xlfn.SWITCH($A$2,"average", AVERAGE(Instances!AC8:Instances!AC8),"median", MEDIAN(Instances!AC8:Instances!AC8),"min", MIN(Instances!AC8:Instances!AC8),"max", MAX(Instances!AC8:Instances!AC8),"diff", MAX(Instances!AC8:Instances!AC8)-MIN(Instances!AC8:Instances!AC8))</f>
        <v>0</v>
      </c>
      <c r="AD8" s="1" cm="1">
        <f t="array" ref="AD8">_xlfn.SWITCH($A$2,"average", AVERAGE(Instances!AD8:Instances!AD8),"median", MEDIAN(Instances!AD8:Instances!AD8),"min", MIN(Instances!AD8:Instances!AD8),"max", MAX(Instances!AD8:Instances!AD8),"diff", MAX(Instances!AD8:Instances!AD8)-MIN(Instances!AD8:Instances!AD8))</f>
        <v>0</v>
      </c>
      <c r="AE8" s="1"/>
      <c r="AF8" s="1"/>
      <c r="AG8" s="1"/>
      <c r="AH8" s="1"/>
      <c r="AI8" s="1"/>
      <c r="AJ8" s="1" cm="1">
        <f t="array" ref="AJ8">_xlfn.SWITCH($A$2,"average", AVERAGE(Instances!AJ8:Instances!AJ8),"median", MEDIAN(Instances!AJ8:Instances!AJ8),"min", MIN(Instances!AJ8:Instances!AJ8),"max", MAX(Instances!AJ8:Instances!AJ8),"diff", MAX(Instances!AJ8:Instances!AJ8)-MIN(Instances!AJ8:Instances!AJ8))</f>
        <v>0</v>
      </c>
      <c r="AK8" s="1" cm="1">
        <f t="array" ref="AK8">_xlfn.SWITCH($A$2,"average", AVERAGE(Instances!AK8:Instances!AK8),"median", MEDIAN(Instances!AK8:Instances!AK8),"min", MIN(Instances!AK8:Instances!AK8),"max", MAX(Instances!AK8:Instances!AK8),"diff", MAX(Instances!AK8:Instances!AK8)-MIN(Instances!AK8:Instances!AK8))</f>
        <v>0</v>
      </c>
      <c r="AL8" s="1"/>
      <c r="AM8" s="1"/>
      <c r="AN8" s="1"/>
      <c r="AO8" s="1"/>
      <c r="AP8" s="1"/>
      <c r="AQ8" s="1" cm="1">
        <f t="array" ref="AQ8">_xlfn.SWITCH($A$2,"average", AVERAGE(Instances!AQ8:Instances!AQ8),"median", MEDIAN(Instances!AQ8:Instances!AQ8),"min", MIN(Instances!AQ8:Instances!AQ8),"max", MAX(Instances!AQ8:Instances!AQ8),"diff", MAX(Instances!AQ8:Instances!AQ8)-MIN(Instances!AQ8:Instances!AQ8))</f>
        <v>0</v>
      </c>
      <c r="AR8" s="1">
        <f>MIN($B8,$I8,$P8,$W8,$AD8,$AK8)</f>
        <v>0</v>
      </c>
      <c r="AS8" s="1"/>
      <c r="AT8" s="1"/>
      <c r="AU8" s="1"/>
      <c r="AV8" s="1"/>
      <c r="AW8" s="1">
        <f>MIN($H8,$O8,$V8,$AC8,$AJ8,$AQ8)</f>
        <v>0</v>
      </c>
      <c r="AX8" s="1">
        <f>MEDIAN($B8,$I8,$P8,$W8,$AD8,$AK8)</f>
        <v>0</v>
      </c>
      <c r="AY8" s="1"/>
      <c r="AZ8" s="1"/>
      <c r="BA8" s="1"/>
      <c r="BB8" s="1"/>
      <c r="BC8" s="1">
        <f>MEDIAN($H8,$O8,$V8,$AC8,$AJ8,$AQ8)</f>
        <v>0</v>
      </c>
      <c r="BD8" s="1">
        <f>MAX($B8,$I8,$P8,$W8,$AD8,$AK8)</f>
        <v>0</v>
      </c>
      <c r="BE8" s="1"/>
      <c r="BF8" s="1"/>
      <c r="BG8" s="1"/>
      <c r="BH8" s="1"/>
      <c r="BI8" s="1">
        <f>MAX($H8,$O8,$V8,$AC8,$AJ8,$AQ8)</f>
        <v>0</v>
      </c>
    </row>
    <row r="9" spans="1:61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/>
      <c r="D9" s="1"/>
      <c r="E9" s="1"/>
      <c r="F9" s="1"/>
      <c r="G9" s="1"/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/>
      <c r="K9" s="1"/>
      <c r="L9" s="1"/>
      <c r="M9" s="1"/>
      <c r="N9" s="1"/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/>
      <c r="R9" s="1"/>
      <c r="S9" s="1"/>
      <c r="T9" s="1"/>
      <c r="U9" s="1"/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 cm="1">
        <f t="array" ref="W9">_xlfn.SWITCH($A$2,"average", AVERAGE(Instances!W9:Instances!W9),"median", MEDIAN(Instances!W9:Instances!W9),"min", MIN(Instances!W9:Instances!W9),"max", MAX(Instances!W9:Instances!W9),"diff", MAX(Instances!W9:Instances!W9)-MIN(Instances!W9:Instances!W9))</f>
        <v>0</v>
      </c>
      <c r="X9" s="1"/>
      <c r="Y9" s="1"/>
      <c r="Z9" s="1"/>
      <c r="AA9" s="1"/>
      <c r="AB9" s="1"/>
      <c r="AC9" s="1" cm="1">
        <f t="array" ref="AC9">_xlfn.SWITCH($A$2,"average", AVERAGE(Instances!AC9:Instances!AC9),"median", MEDIAN(Instances!AC9:Instances!AC9),"min", MIN(Instances!AC9:Instances!AC9),"max", MAX(Instances!AC9:Instances!AC9),"diff", MAX(Instances!AC9:Instances!AC9)-MIN(Instances!AC9:Instances!AC9))</f>
        <v>0</v>
      </c>
      <c r="AD9" s="1" cm="1">
        <f t="array" ref="AD9">_xlfn.SWITCH($A$2,"average", AVERAGE(Instances!AD9:Instances!AD9),"median", MEDIAN(Instances!AD9:Instances!AD9),"min", MIN(Instances!AD9:Instances!AD9),"max", MAX(Instances!AD9:Instances!AD9),"diff", MAX(Instances!AD9:Instances!AD9)-MIN(Instances!AD9:Instances!AD9))</f>
        <v>0</v>
      </c>
      <c r="AE9" s="1"/>
      <c r="AF9" s="1"/>
      <c r="AG9" s="1"/>
      <c r="AH9" s="1"/>
      <c r="AI9" s="1"/>
      <c r="AJ9" s="1" cm="1">
        <f t="array" ref="AJ9">_xlfn.SWITCH($A$2,"average", AVERAGE(Instances!AJ9:Instances!AJ9),"median", MEDIAN(Instances!AJ9:Instances!AJ9),"min", MIN(Instances!AJ9:Instances!AJ9),"max", MAX(Instances!AJ9:Instances!AJ9),"diff", MAX(Instances!AJ9:Instances!AJ9)-MIN(Instances!AJ9:Instances!AJ9))</f>
        <v>0</v>
      </c>
      <c r="AK9" s="1" cm="1">
        <f t="array" ref="AK9">_xlfn.SWITCH($A$2,"average", AVERAGE(Instances!AK9:Instances!AK9),"median", MEDIAN(Instances!AK9:Instances!AK9),"min", MIN(Instances!AK9:Instances!AK9),"max", MAX(Instances!AK9:Instances!AK9),"diff", MAX(Instances!AK9:Instances!AK9)-MIN(Instances!AK9:Instances!AK9))</f>
        <v>0</v>
      </c>
      <c r="AL9" s="1"/>
      <c r="AM9" s="1"/>
      <c r="AN9" s="1"/>
      <c r="AO9" s="1"/>
      <c r="AP9" s="1"/>
      <c r="AQ9" s="1" cm="1">
        <f t="array" ref="AQ9">_xlfn.SWITCH($A$2,"average", AVERAGE(Instances!AQ9:Instances!AQ9),"median", MEDIAN(Instances!AQ9:Instances!AQ9),"min", MIN(Instances!AQ9:Instances!AQ9),"max", MAX(Instances!AQ9:Instances!AQ9),"diff", MAX(Instances!AQ9:Instances!AQ9)-MIN(Instances!AQ9:Instances!AQ9))</f>
        <v>0</v>
      </c>
      <c r="AR9" s="1">
        <f>MIN($B9,$I9,$P9,$W9,$AD9,$AK9)</f>
        <v>0</v>
      </c>
      <c r="AS9" s="1"/>
      <c r="AT9" s="1"/>
      <c r="AU9" s="1"/>
      <c r="AV9" s="1"/>
      <c r="AW9" s="1">
        <f>MIN($H9,$O9,$V9,$AC9,$AJ9,$AQ9)</f>
        <v>0</v>
      </c>
      <c r="AX9" s="1">
        <f>MEDIAN($B9,$I9,$P9,$W9,$AD9,$AK9)</f>
        <v>0</v>
      </c>
      <c r="AY9" s="1"/>
      <c r="AZ9" s="1"/>
      <c r="BA9" s="1"/>
      <c r="BB9" s="1"/>
      <c r="BC9" s="1">
        <f>MEDIAN($H9,$O9,$V9,$AC9,$AJ9,$AQ9)</f>
        <v>0</v>
      </c>
      <c r="BD9" s="1">
        <f>MAX($B9,$I9,$P9,$W9,$AD9,$AK9)</f>
        <v>0</v>
      </c>
      <c r="BE9" s="1"/>
      <c r="BF9" s="1"/>
      <c r="BG9" s="1"/>
      <c r="BH9" s="1"/>
      <c r="BI9" s="1">
        <f>MAX($H9,$O9,$V9,$AC9,$AJ9,$AQ9)</f>
        <v>0</v>
      </c>
    </row>
    <row r="10" spans="1:61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/>
      <c r="D10" s="1"/>
      <c r="E10" s="1"/>
      <c r="F10" s="1"/>
      <c r="G10" s="1"/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/>
      <c r="K10" s="1"/>
      <c r="L10" s="1"/>
      <c r="M10" s="1"/>
      <c r="N10" s="1"/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/>
      <c r="R10" s="1"/>
      <c r="S10" s="1"/>
      <c r="T10" s="1"/>
      <c r="U10" s="1"/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 cm="1">
        <f t="array" ref="W10">_xlfn.SWITCH($A$2,"average", AVERAGE(Instances!W10:Instances!W10),"median", MEDIAN(Instances!W10:Instances!W10),"min", MIN(Instances!W10:Instances!W10),"max", MAX(Instances!W10:Instances!W10),"diff", MAX(Instances!W10:Instances!W10)-MIN(Instances!W10:Instances!W10))</f>
        <v>0</v>
      </c>
      <c r="X10" s="1"/>
      <c r="Y10" s="1"/>
      <c r="Z10" s="1"/>
      <c r="AA10" s="1"/>
      <c r="AB10" s="1"/>
      <c r="AC10" s="1" cm="1">
        <f t="array" ref="AC10">_xlfn.SWITCH($A$2,"average", AVERAGE(Instances!AC10:Instances!AC10),"median", MEDIAN(Instances!AC10:Instances!AC10),"min", MIN(Instances!AC10:Instances!AC10),"max", MAX(Instances!AC10:Instances!AC10),"diff", MAX(Instances!AC10:Instances!AC10)-MIN(Instances!AC10:Instances!AC10))</f>
        <v>0</v>
      </c>
      <c r="AD10" s="1" cm="1">
        <f t="array" ref="AD10">_xlfn.SWITCH($A$2,"average", AVERAGE(Instances!AD10:Instances!AD10),"median", MEDIAN(Instances!AD10:Instances!AD10),"min", MIN(Instances!AD10:Instances!AD10),"max", MAX(Instances!AD10:Instances!AD10),"diff", MAX(Instances!AD10:Instances!AD10)-MIN(Instances!AD10:Instances!AD10))</f>
        <v>0</v>
      </c>
      <c r="AE10" s="1"/>
      <c r="AF10" s="1"/>
      <c r="AG10" s="1"/>
      <c r="AH10" s="1"/>
      <c r="AI10" s="1"/>
      <c r="AJ10" s="1" cm="1">
        <f t="array" ref="AJ10">_xlfn.SWITCH($A$2,"average", AVERAGE(Instances!AJ10:Instances!AJ10),"median", MEDIAN(Instances!AJ10:Instances!AJ10),"min", MIN(Instances!AJ10:Instances!AJ10),"max", MAX(Instances!AJ10:Instances!AJ10),"diff", MAX(Instances!AJ10:Instances!AJ10)-MIN(Instances!AJ10:Instances!AJ10))</f>
        <v>0</v>
      </c>
      <c r="AK10" s="1" cm="1">
        <f t="array" ref="AK10">_xlfn.SWITCH($A$2,"average", AVERAGE(Instances!AK10:Instances!AK10),"median", MEDIAN(Instances!AK10:Instances!AK10),"min", MIN(Instances!AK10:Instances!AK10),"max", MAX(Instances!AK10:Instances!AK10),"diff", MAX(Instances!AK10:Instances!AK10)-MIN(Instances!AK10:Instances!AK10))</f>
        <v>0</v>
      </c>
      <c r="AL10" s="1"/>
      <c r="AM10" s="1"/>
      <c r="AN10" s="1"/>
      <c r="AO10" s="1"/>
      <c r="AP10" s="1"/>
      <c r="AQ10" s="1" cm="1">
        <f t="array" ref="AQ10">_xlfn.SWITCH($A$2,"average", AVERAGE(Instances!AQ10:Instances!AQ10),"median", MEDIAN(Instances!AQ10:Instances!AQ10),"min", MIN(Instances!AQ10:Instances!AQ10),"max", MAX(Instances!AQ10:Instances!AQ10),"diff", MAX(Instances!AQ10:Instances!AQ10)-MIN(Instances!AQ10:Instances!AQ10))</f>
        <v>0</v>
      </c>
      <c r="AR10" s="1">
        <f>MIN($B10,$I10,$P10,$W10,$AD10,$AK10)</f>
        <v>0</v>
      </c>
      <c r="AS10" s="1"/>
      <c r="AT10" s="1"/>
      <c r="AU10" s="1"/>
      <c r="AV10" s="1"/>
      <c r="AW10" s="1">
        <f>MIN($H10,$O10,$V10,$AC10,$AJ10,$AQ10)</f>
        <v>0</v>
      </c>
      <c r="AX10" s="1">
        <f>MEDIAN($B10,$I10,$P10,$W10,$AD10,$AK10)</f>
        <v>0</v>
      </c>
      <c r="AY10" s="1"/>
      <c r="AZ10" s="1"/>
      <c r="BA10" s="1"/>
      <c r="BB10" s="1"/>
      <c r="BC10" s="1">
        <f>MEDIAN($H10,$O10,$V10,$AC10,$AJ10,$AQ10)</f>
        <v>0</v>
      </c>
      <c r="BD10" s="1">
        <f>MAX($B10,$I10,$P10,$W10,$AD10,$AK10)</f>
        <v>0</v>
      </c>
      <c r="BE10" s="1"/>
      <c r="BF10" s="1"/>
      <c r="BG10" s="1"/>
      <c r="BH10" s="1"/>
      <c r="BI10" s="1">
        <f>MAX($H10,$O10,$V10,$AC10,$AJ10,$AQ10)</f>
        <v>0</v>
      </c>
    </row>
    <row r="11" spans="1:61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/>
      <c r="D11" s="1"/>
      <c r="E11" s="1"/>
      <c r="F11" s="1"/>
      <c r="G11" s="1"/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/>
      <c r="K11" s="1"/>
      <c r="L11" s="1"/>
      <c r="M11" s="1"/>
      <c r="N11" s="1"/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/>
      <c r="R11" s="1"/>
      <c r="S11" s="1"/>
      <c r="T11" s="1"/>
      <c r="U11" s="1"/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 cm="1">
        <f t="array" ref="W11">_xlfn.SWITCH($A$2,"average", AVERAGE(Instances!W11:Instances!W11),"median", MEDIAN(Instances!W11:Instances!W11),"min", MIN(Instances!W11:Instances!W11),"max", MAX(Instances!W11:Instances!W11),"diff", MAX(Instances!W11:Instances!W11)-MIN(Instances!W11:Instances!W11))</f>
        <v>0</v>
      </c>
      <c r="X11" s="1"/>
      <c r="Y11" s="1"/>
      <c r="Z11" s="1"/>
      <c r="AA11" s="1"/>
      <c r="AB11" s="1"/>
      <c r="AC11" s="1" cm="1">
        <f t="array" ref="AC11">_xlfn.SWITCH($A$2,"average", AVERAGE(Instances!AC11:Instances!AC11),"median", MEDIAN(Instances!AC11:Instances!AC11),"min", MIN(Instances!AC11:Instances!AC11),"max", MAX(Instances!AC11:Instances!AC11),"diff", MAX(Instances!AC11:Instances!AC11)-MIN(Instances!AC11:Instances!AC11))</f>
        <v>0</v>
      </c>
      <c r="AD11" s="1" cm="1">
        <f t="array" ref="AD11">_xlfn.SWITCH($A$2,"average", AVERAGE(Instances!AD11:Instances!AD11),"median", MEDIAN(Instances!AD11:Instances!AD11),"min", MIN(Instances!AD11:Instances!AD11),"max", MAX(Instances!AD11:Instances!AD11),"diff", MAX(Instances!AD11:Instances!AD11)-MIN(Instances!AD11:Instances!AD11))</f>
        <v>0</v>
      </c>
      <c r="AE11" s="1"/>
      <c r="AF11" s="1"/>
      <c r="AG11" s="1"/>
      <c r="AH11" s="1"/>
      <c r="AI11" s="1"/>
      <c r="AJ11" s="1" cm="1">
        <f t="array" ref="AJ11">_xlfn.SWITCH($A$2,"average", AVERAGE(Instances!AJ11:Instances!AJ11),"median", MEDIAN(Instances!AJ11:Instances!AJ11),"min", MIN(Instances!AJ11:Instances!AJ11),"max", MAX(Instances!AJ11:Instances!AJ11),"diff", MAX(Instances!AJ11:Instances!AJ11)-MIN(Instances!AJ11:Instances!AJ11))</f>
        <v>0</v>
      </c>
      <c r="AK11" s="1" cm="1">
        <f t="array" ref="AK11">_xlfn.SWITCH($A$2,"average", AVERAGE(Instances!AK11:Instances!AK11),"median", MEDIAN(Instances!AK11:Instances!AK11),"min", MIN(Instances!AK11:Instances!AK11),"max", MAX(Instances!AK11:Instances!AK11),"diff", MAX(Instances!AK11:Instances!AK11)-MIN(Instances!AK11:Instances!AK11))</f>
        <v>0</v>
      </c>
      <c r="AL11" s="1"/>
      <c r="AM11" s="1"/>
      <c r="AN11" s="1"/>
      <c r="AO11" s="1"/>
      <c r="AP11" s="1"/>
      <c r="AQ11" s="1" cm="1">
        <f t="array" ref="AQ11">_xlfn.SWITCH($A$2,"average", AVERAGE(Instances!AQ11:Instances!AQ11),"median", MEDIAN(Instances!AQ11:Instances!AQ11),"min", MIN(Instances!AQ11:Instances!AQ11),"max", MAX(Instances!AQ11:Instances!AQ11),"diff", MAX(Instances!AQ11:Instances!AQ11)-MIN(Instances!AQ11:Instances!AQ11))</f>
        <v>0</v>
      </c>
      <c r="AR11" s="1">
        <f>MIN($B11,$I11,$P11,$W11,$AD11,$AK11)</f>
        <v>0</v>
      </c>
      <c r="AS11" s="1"/>
      <c r="AT11" s="1"/>
      <c r="AU11" s="1"/>
      <c r="AV11" s="1"/>
      <c r="AW11" s="1">
        <f>MIN($H11,$O11,$V11,$AC11,$AJ11,$AQ11)</f>
        <v>0</v>
      </c>
      <c r="AX11" s="1">
        <f>MEDIAN($B11,$I11,$P11,$W11,$AD11,$AK11)</f>
        <v>0</v>
      </c>
      <c r="AY11" s="1"/>
      <c r="AZ11" s="1"/>
      <c r="BA11" s="1"/>
      <c r="BB11" s="1"/>
      <c r="BC11" s="1">
        <f>MEDIAN($H11,$O11,$V11,$AC11,$AJ11,$AQ11)</f>
        <v>0</v>
      </c>
      <c r="BD11" s="1">
        <f>MAX($B11,$I11,$P11,$W11,$AD11,$AK11)</f>
        <v>0</v>
      </c>
      <c r="BE11" s="1"/>
      <c r="BF11" s="1"/>
      <c r="BG11" s="1"/>
      <c r="BH11" s="1"/>
      <c r="BI11" s="1">
        <f>MAX($H11,$O11,$V11,$AC11,$AJ11,$AQ11)</f>
        <v>0</v>
      </c>
    </row>
    <row r="12" spans="1:61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/>
      <c r="D12" s="1"/>
      <c r="E12" s="1"/>
      <c r="F12" s="1"/>
      <c r="G12" s="1"/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/>
      <c r="K12" s="1"/>
      <c r="L12" s="1"/>
      <c r="M12" s="1"/>
      <c r="N12" s="1"/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/>
      <c r="R12" s="1"/>
      <c r="S12" s="1"/>
      <c r="T12" s="1"/>
      <c r="U12" s="1"/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 cm="1">
        <f t="array" ref="W12">_xlfn.SWITCH($A$2,"average", AVERAGE(Instances!W12:Instances!W12),"median", MEDIAN(Instances!W12:Instances!W12),"min", MIN(Instances!W12:Instances!W12),"max", MAX(Instances!W12:Instances!W12),"diff", MAX(Instances!W12:Instances!W12)-MIN(Instances!W12:Instances!W12))</f>
        <v>0</v>
      </c>
      <c r="X12" s="1"/>
      <c r="Y12" s="1"/>
      <c r="Z12" s="1"/>
      <c r="AA12" s="1"/>
      <c r="AB12" s="1"/>
      <c r="AC12" s="1" cm="1">
        <f t="array" ref="AC12">_xlfn.SWITCH($A$2,"average", AVERAGE(Instances!AC12:Instances!AC12),"median", MEDIAN(Instances!AC12:Instances!AC12),"min", MIN(Instances!AC12:Instances!AC12),"max", MAX(Instances!AC12:Instances!AC12),"diff", MAX(Instances!AC12:Instances!AC12)-MIN(Instances!AC12:Instances!AC12))</f>
        <v>0</v>
      </c>
      <c r="AD12" s="1" cm="1">
        <f t="array" ref="AD12">_xlfn.SWITCH($A$2,"average", AVERAGE(Instances!AD12:Instances!AD12),"median", MEDIAN(Instances!AD12:Instances!AD12),"min", MIN(Instances!AD12:Instances!AD12),"max", MAX(Instances!AD12:Instances!AD12),"diff", MAX(Instances!AD12:Instances!AD12)-MIN(Instances!AD12:Instances!AD12))</f>
        <v>0</v>
      </c>
      <c r="AE12" s="1"/>
      <c r="AF12" s="1"/>
      <c r="AG12" s="1"/>
      <c r="AH12" s="1"/>
      <c r="AI12" s="1"/>
      <c r="AJ12" s="1" cm="1">
        <f t="array" ref="AJ12">_xlfn.SWITCH($A$2,"average", AVERAGE(Instances!AJ12:Instances!AJ12),"median", MEDIAN(Instances!AJ12:Instances!AJ12),"min", MIN(Instances!AJ12:Instances!AJ12),"max", MAX(Instances!AJ12:Instances!AJ12),"diff", MAX(Instances!AJ12:Instances!AJ12)-MIN(Instances!AJ12:Instances!AJ12))</f>
        <v>0</v>
      </c>
      <c r="AK12" s="1" cm="1">
        <f t="array" ref="AK12">_xlfn.SWITCH($A$2,"average", AVERAGE(Instances!AK12:Instances!AK12),"median", MEDIAN(Instances!AK12:Instances!AK12),"min", MIN(Instances!AK12:Instances!AK12),"max", MAX(Instances!AK12:Instances!AK12),"diff", MAX(Instances!AK12:Instances!AK12)-MIN(Instances!AK12:Instances!AK12))</f>
        <v>0</v>
      </c>
      <c r="AL12" s="1"/>
      <c r="AM12" s="1"/>
      <c r="AN12" s="1"/>
      <c r="AO12" s="1"/>
      <c r="AP12" s="1"/>
      <c r="AQ12" s="1" cm="1">
        <f t="array" ref="AQ12">_xlfn.SWITCH($A$2,"average", AVERAGE(Instances!AQ12:Instances!AQ12),"median", MEDIAN(Instances!AQ12:Instances!AQ12),"min", MIN(Instances!AQ12:Instances!AQ12),"max", MAX(Instances!AQ12:Instances!AQ12),"diff", MAX(Instances!AQ12:Instances!AQ12)-MIN(Instances!AQ12:Instances!AQ12))</f>
        <v>0</v>
      </c>
      <c r="AR12" s="1">
        <f>MIN($B12,$I12,$P12,$W12,$AD12,$AK12)</f>
        <v>0</v>
      </c>
      <c r="AS12" s="1"/>
      <c r="AT12" s="1"/>
      <c r="AU12" s="1"/>
      <c r="AV12" s="1"/>
      <c r="AW12" s="1">
        <f>MIN($H12,$O12,$V12,$AC12,$AJ12,$AQ12)</f>
        <v>0</v>
      </c>
      <c r="AX12" s="1">
        <f>MEDIAN($B12,$I12,$P12,$W12,$AD12,$AK12)</f>
        <v>0</v>
      </c>
      <c r="AY12" s="1"/>
      <c r="AZ12" s="1"/>
      <c r="BA12" s="1"/>
      <c r="BB12" s="1"/>
      <c r="BC12" s="1">
        <f>MEDIAN($H12,$O12,$V12,$AC12,$AJ12,$AQ12)</f>
        <v>0</v>
      </c>
      <c r="BD12" s="1">
        <f>MAX($B12,$I12,$P12,$W12,$AD12,$AK12)</f>
        <v>0</v>
      </c>
      <c r="BE12" s="1"/>
      <c r="BF12" s="1"/>
      <c r="BG12" s="1"/>
      <c r="BH12" s="1"/>
      <c r="BI12" s="1">
        <f>MAX($H12,$O12,$V12,$AC12,$AJ12,$AQ12)</f>
        <v>0</v>
      </c>
    </row>
    <row r="13" spans="1:6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/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/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/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</row>
    <row r="15" spans="1:61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/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/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/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</row>
    <row r="16" spans="1:61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/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/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/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</row>
    <row r="17" spans="1:61">
      <c r="A17" s="1" t="s">
        <v>13</v>
      </c>
      <c r="B17" s="1">
        <f>SUMPRODUCT(--(B$3:B$12-$AR$3:$AR$12)^2)^0.5</f>
        <v>0</v>
      </c>
      <c r="C17" s="1">
        <f>SUMPRODUCT(--(C$3:C$12-$AS$3:$AS$12)^2)^0.5</f>
        <v>0</v>
      </c>
      <c r="D17" s="1"/>
      <c r="E17" s="1">
        <f>SUMPRODUCT(--(E$3:E$12-$AT$3:$AT$12)^2)^0.5</f>
        <v>0</v>
      </c>
      <c r="F17" s="1">
        <f>SUMPRODUCT(--(F$3:F$12-$AU$3:$AU$12)^2)^0.5</f>
        <v>0</v>
      </c>
      <c r="G17" s="1">
        <f>SUMPRODUCT(--(G$3:G$12-$AV$3:$AV$12)^2)^0.5</f>
        <v>0</v>
      </c>
      <c r="H17" s="1">
        <f>SUMPRODUCT(--(H$3:H$12-$AW$3:$AW$12)^2)^0.5</f>
        <v>0</v>
      </c>
      <c r="I17" s="1">
        <f>SUMPRODUCT(--(I$3:I$12-$AR$3:$AR$12)^2)^0.5</f>
        <v>0</v>
      </c>
      <c r="J17" s="1">
        <f>SUMPRODUCT(--(J$3:J$12-$AS$3:$AS$12)^2)^0.5</f>
        <v>0</v>
      </c>
      <c r="K17" s="1"/>
      <c r="L17" s="1">
        <f>SUMPRODUCT(--(L$3:L$12-$AT$3:$AT$12)^2)^0.5</f>
        <v>0</v>
      </c>
      <c r="M17" s="1">
        <f>SUMPRODUCT(--(M$3:M$12-$AU$3:$AU$12)^2)^0.5</f>
        <v>0</v>
      </c>
      <c r="N17" s="1">
        <f>SUMPRODUCT(--(N$3:N$12-$AV$3:$AV$12)^2)^0.5</f>
        <v>0</v>
      </c>
      <c r="O17" s="1">
        <f>SUMPRODUCT(--(O$3:O$12-$AW$3:$AW$12)^2)^0.5</f>
        <v>0</v>
      </c>
      <c r="P17" s="1">
        <f>SUMPRODUCT(--(P$3:P$12-$AR$3:$AR$12)^2)^0.5</f>
        <v>0</v>
      </c>
      <c r="Q17" s="1">
        <f>SUMPRODUCT(--(Q$3:Q$12-$AS$3:$AS$12)^2)^0.5</f>
        <v>0</v>
      </c>
      <c r="R17" s="1"/>
      <c r="S17" s="1">
        <f>SUMPRODUCT(--(S$3:S$12-$AT$3:$AT$12)^2)^0.5</f>
        <v>0</v>
      </c>
      <c r="T17" s="1">
        <f>SUMPRODUCT(--(T$3:T$12-$AU$3:$AU$12)^2)^0.5</f>
        <v>0</v>
      </c>
      <c r="U17" s="1">
        <f>SUMPRODUCT(--(U$3:U$12-$AV$3:$AV$12)^2)^0.5</f>
        <v>0</v>
      </c>
      <c r="V17" s="1">
        <f>SUMPRODUCT(--(V$3:V$12-$AW$3:$AW$12)^2)^0.5</f>
        <v>0</v>
      </c>
      <c r="W17" s="1">
        <f>SUMPRODUCT(--(W$3:W$12-$AR$3:$AR$12)^2)^0.5</f>
        <v>0</v>
      </c>
      <c r="X17" s="1">
        <f>SUMPRODUCT(--(X$3:X$12-$AS$3:$AS$12)^2)^0.5</f>
        <v>0</v>
      </c>
      <c r="Y17" s="1"/>
      <c r="Z17" s="1">
        <f>SUMPRODUCT(--(Z$3:Z$12-$AT$3:$AT$12)^2)^0.5</f>
        <v>0</v>
      </c>
      <c r="AA17" s="1">
        <f>SUMPRODUCT(--(AA$3:AA$12-$AU$3:$AU$12)^2)^0.5</f>
        <v>0</v>
      </c>
      <c r="AB17" s="1">
        <f>SUMPRODUCT(--(AB$3:AB$12-$AV$3:$AV$12)^2)^0.5</f>
        <v>0</v>
      </c>
      <c r="AC17" s="1">
        <f>SUMPRODUCT(--(AC$3:AC$12-$AW$3:$AW$12)^2)^0.5</f>
        <v>0</v>
      </c>
      <c r="AD17" s="1">
        <f>SUMPRODUCT(--(AD$3:AD$12-$AR$3:$AR$12)^2)^0.5</f>
        <v>0</v>
      </c>
      <c r="AE17" s="1">
        <f>SUMPRODUCT(--(AE$3:AE$12-$AS$3:$AS$12)^2)^0.5</f>
        <v>0</v>
      </c>
      <c r="AF17" s="1"/>
      <c r="AG17" s="1">
        <f>SUMPRODUCT(--(AG$3:AG$12-$AT$3:$AT$12)^2)^0.5</f>
        <v>0</v>
      </c>
      <c r="AH17" s="1">
        <f>SUMPRODUCT(--(AH$3:AH$12-$AU$3:$AU$12)^2)^0.5</f>
        <v>0</v>
      </c>
      <c r="AI17" s="1">
        <f>SUMPRODUCT(--(AI$3:AI$12-$AV$3:$AV$12)^2)^0.5</f>
        <v>0</v>
      </c>
      <c r="AJ17" s="1">
        <f>SUMPRODUCT(--(AJ$3:AJ$12-$AW$3:$AW$12)^2)^0.5</f>
        <v>0</v>
      </c>
      <c r="AK17" s="1">
        <f>SUMPRODUCT(--(AK$3:AK$12-$AR$3:$AR$12)^2)^0.5</f>
        <v>0</v>
      </c>
      <c r="AL17" s="1">
        <f>SUMPRODUCT(--(AL$3:AL$12-$AS$3:$AS$12)^2)^0.5</f>
        <v>0</v>
      </c>
      <c r="AM17" s="1"/>
      <c r="AN17" s="1">
        <f>SUMPRODUCT(--(AN$3:AN$12-$AT$3:$AT$12)^2)^0.5</f>
        <v>0</v>
      </c>
      <c r="AO17" s="1">
        <f>SUMPRODUCT(--(AO$3:AO$12-$AU$3:$AU$12)^2)^0.5</f>
        <v>0</v>
      </c>
      <c r="AP17" s="1">
        <f>SUMPRODUCT(--(AP$3:AP$12-$AV$3:$AV$12)^2)^0.5</f>
        <v>0</v>
      </c>
      <c r="AQ17" s="1">
        <f>SUMPRODUCT(--(AQ$3:AQ$12-$AW$3:$AW$12)^2)^0.5</f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>
      <c r="A18" s="1" t="s">
        <v>14</v>
      </c>
      <c r="B18" s="1">
        <f>SUMPRODUCT(NOT(ISBLANK(B$3:B$12))*(B$3:B$12=$AR$3:$AR$12))</f>
        <v>0</v>
      </c>
      <c r="C18" s="1">
        <f>SUMPRODUCT(NOT(ISBLANK(C$3:C$12))*(C$3:C$12=$AS$3:$AS$12))</f>
        <v>0</v>
      </c>
      <c r="D18" s="1"/>
      <c r="E18" s="1">
        <f>SUMPRODUCT(NOT(ISBLANK(E$3:E$12))*(E$3:E$12=$AT$3:$AT$12))</f>
        <v>0</v>
      </c>
      <c r="F18" s="1">
        <f>SUMPRODUCT(NOT(ISBLANK(F$3:F$12))*(F$3:F$12=$AU$3:$AU$12))</f>
        <v>0</v>
      </c>
      <c r="G18" s="1">
        <f>SUMPRODUCT(NOT(ISBLANK(G$3:G$12))*(G$3:G$12=$AV$3:$AV$12))</f>
        <v>0</v>
      </c>
      <c r="H18" s="1">
        <f>SUMPRODUCT(NOT(ISBLANK(H$3:H$12))*(H$3:H$12=$AW$3:$AW$12))</f>
        <v>0</v>
      </c>
      <c r="I18" s="1">
        <f>SUMPRODUCT(NOT(ISBLANK(I$3:I$12))*(I$3:I$12=$AR$3:$AR$12))</f>
        <v>0</v>
      </c>
      <c r="J18" s="1">
        <f>SUMPRODUCT(NOT(ISBLANK(J$3:J$12))*(J$3:J$12=$AS$3:$AS$12))</f>
        <v>0</v>
      </c>
      <c r="K18" s="1"/>
      <c r="L18" s="1">
        <f>SUMPRODUCT(NOT(ISBLANK(L$3:L$12))*(L$3:L$12=$AT$3:$AT$12))</f>
        <v>0</v>
      </c>
      <c r="M18" s="1">
        <f>SUMPRODUCT(NOT(ISBLANK(M$3:M$12))*(M$3:M$12=$AU$3:$AU$12))</f>
        <v>0</v>
      </c>
      <c r="N18" s="1">
        <f>SUMPRODUCT(NOT(ISBLANK(N$3:N$12))*(N$3:N$12=$AV$3:$AV$12))</f>
        <v>0</v>
      </c>
      <c r="O18" s="1">
        <f>SUMPRODUCT(NOT(ISBLANK(O$3:O$12))*(O$3:O$12=$AW$3:$AW$12))</f>
        <v>0</v>
      </c>
      <c r="P18" s="1">
        <f>SUMPRODUCT(NOT(ISBLANK(P$3:P$12))*(P$3:P$12=$AR$3:$AR$12))</f>
        <v>0</v>
      </c>
      <c r="Q18" s="1">
        <f>SUMPRODUCT(NOT(ISBLANK(Q$3:Q$12))*(Q$3:Q$12=$AS$3:$AS$12))</f>
        <v>0</v>
      </c>
      <c r="R18" s="1"/>
      <c r="S18" s="1">
        <f>SUMPRODUCT(NOT(ISBLANK(S$3:S$12))*(S$3:S$12=$AT$3:$AT$12))</f>
        <v>0</v>
      </c>
      <c r="T18" s="1">
        <f>SUMPRODUCT(NOT(ISBLANK(T$3:T$12))*(T$3:T$12=$AU$3:$AU$12))</f>
        <v>0</v>
      </c>
      <c r="U18" s="1">
        <f>SUMPRODUCT(NOT(ISBLANK(U$3:U$12))*(U$3:U$12=$AV$3:$AV$12))</f>
        <v>0</v>
      </c>
      <c r="V18" s="1">
        <f>SUMPRODUCT(NOT(ISBLANK(V$3:V$12))*(V$3:V$12=$AW$3:$AW$12))</f>
        <v>0</v>
      </c>
      <c r="W18" s="1">
        <f>SUMPRODUCT(NOT(ISBLANK(W$3:W$12))*(W$3:W$12=$AR$3:$AR$12))</f>
        <v>0</v>
      </c>
      <c r="X18" s="1">
        <f>SUMPRODUCT(NOT(ISBLANK(X$3:X$12))*(X$3:X$12=$AS$3:$AS$12))</f>
        <v>0</v>
      </c>
      <c r="Y18" s="1"/>
      <c r="Z18" s="1">
        <f>SUMPRODUCT(NOT(ISBLANK(Z$3:Z$12))*(Z$3:Z$12=$AT$3:$AT$12))</f>
        <v>0</v>
      </c>
      <c r="AA18" s="1">
        <f>SUMPRODUCT(NOT(ISBLANK(AA$3:AA$12))*(AA$3:AA$12=$AU$3:$AU$12))</f>
        <v>0</v>
      </c>
      <c r="AB18" s="1">
        <f>SUMPRODUCT(NOT(ISBLANK(AB$3:AB$12))*(AB$3:AB$12=$AV$3:$AV$12))</f>
        <v>0</v>
      </c>
      <c r="AC18" s="1">
        <f>SUMPRODUCT(NOT(ISBLANK(AC$3:AC$12))*(AC$3:AC$12=$AW$3:$AW$12))</f>
        <v>0</v>
      </c>
      <c r="AD18" s="1">
        <f>SUMPRODUCT(NOT(ISBLANK(AD$3:AD$12))*(AD$3:AD$12=$AR$3:$AR$12))</f>
        <v>0</v>
      </c>
      <c r="AE18" s="1">
        <f>SUMPRODUCT(NOT(ISBLANK(AE$3:AE$12))*(AE$3:AE$12=$AS$3:$AS$12))</f>
        <v>0</v>
      </c>
      <c r="AF18" s="1"/>
      <c r="AG18" s="1">
        <f>SUMPRODUCT(NOT(ISBLANK(AG$3:AG$12))*(AG$3:AG$12=$AT$3:$AT$12))</f>
        <v>0</v>
      </c>
      <c r="AH18" s="1">
        <f>SUMPRODUCT(NOT(ISBLANK(AH$3:AH$12))*(AH$3:AH$12=$AU$3:$AU$12))</f>
        <v>0</v>
      </c>
      <c r="AI18" s="1">
        <f>SUMPRODUCT(NOT(ISBLANK(AI$3:AI$12))*(AI$3:AI$12=$AV$3:$AV$12))</f>
        <v>0</v>
      </c>
      <c r="AJ18" s="1">
        <f>SUMPRODUCT(NOT(ISBLANK(AJ$3:AJ$12))*(AJ$3:AJ$12=$AW$3:$AW$12))</f>
        <v>0</v>
      </c>
      <c r="AK18" s="1">
        <f>SUMPRODUCT(NOT(ISBLANK(AK$3:AK$12))*(AK$3:AK$12=$AR$3:$AR$12))</f>
        <v>0</v>
      </c>
      <c r="AL18" s="1">
        <f>SUMPRODUCT(NOT(ISBLANK(AL$3:AL$12))*(AL$3:AL$12=$AS$3:$AS$12))</f>
        <v>0</v>
      </c>
      <c r="AM18" s="1"/>
      <c r="AN18" s="1">
        <f>SUMPRODUCT(NOT(ISBLANK(AN$3:AN$12))*(AN$3:AN$12=$AT$3:$AT$12))</f>
        <v>0</v>
      </c>
      <c r="AO18" s="1">
        <f>SUMPRODUCT(NOT(ISBLANK(AO$3:AO$12))*(AO$3:AO$12=$AU$3:$AU$12))</f>
        <v>0</v>
      </c>
      <c r="AP18" s="1">
        <f>SUMPRODUCT(NOT(ISBLANK(AP$3:AP$12))*(AP$3:AP$12=$AV$3:$AV$12))</f>
        <v>0</v>
      </c>
      <c r="AQ18" s="1">
        <f>SUMPRODUCT(NOT(ISBLANK(AQ$3:AQ$12))*(AQ$3:AQ$12=$AW$3:$AW$12))</f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>
      <c r="A19" s="1" t="s">
        <v>15</v>
      </c>
      <c r="B19" s="1">
        <f>SUMPRODUCT(NOT(ISBLANK(B$3:B$12))*(B$3:B$12&lt;$AX$3:$AX$12))</f>
        <v>0</v>
      </c>
      <c r="C19" s="1">
        <f>SUMPRODUCT(NOT(ISBLANK(C$3:C$12))*(C$3:C$12&lt;$AY$3:$AY$12))</f>
        <v>0</v>
      </c>
      <c r="D19" s="1"/>
      <c r="E19" s="1">
        <f>SUMPRODUCT(NOT(ISBLANK(E$3:E$12))*(E$3:E$12&lt;$AZ$3:$AZ$12))</f>
        <v>0</v>
      </c>
      <c r="F19" s="1">
        <f>SUMPRODUCT(NOT(ISBLANK(F$3:F$12))*(F$3:F$12&lt;$BA$3:$BA$12))</f>
        <v>0</v>
      </c>
      <c r="G19" s="1">
        <f>SUMPRODUCT(NOT(ISBLANK(G$3:G$12))*(G$3:G$12&lt;$BB$3:$BB$12))</f>
        <v>0</v>
      </c>
      <c r="H19" s="1">
        <f>SUMPRODUCT(NOT(ISBLANK(H$3:H$12))*(H$3:H$12&lt;$BC$3:$BC$12))</f>
        <v>0</v>
      </c>
      <c r="I19" s="1">
        <f>SUMPRODUCT(NOT(ISBLANK(I$3:I$12))*(I$3:I$12&lt;$AX$3:$AX$12))</f>
        <v>0</v>
      </c>
      <c r="J19" s="1">
        <f>SUMPRODUCT(NOT(ISBLANK(J$3:J$12))*(J$3:J$12&lt;$AY$3:$AY$12))</f>
        <v>0</v>
      </c>
      <c r="K19" s="1"/>
      <c r="L19" s="1">
        <f>SUMPRODUCT(NOT(ISBLANK(L$3:L$12))*(L$3:L$12&lt;$AZ$3:$AZ$12))</f>
        <v>0</v>
      </c>
      <c r="M19" s="1">
        <f>SUMPRODUCT(NOT(ISBLANK(M$3:M$12))*(M$3:M$12&lt;$BA$3:$BA$12))</f>
        <v>0</v>
      </c>
      <c r="N19" s="1">
        <f>SUMPRODUCT(NOT(ISBLANK(N$3:N$12))*(N$3:N$12&lt;$BB$3:$BB$12))</f>
        <v>0</v>
      </c>
      <c r="O19" s="1">
        <f>SUMPRODUCT(NOT(ISBLANK(O$3:O$12))*(O$3:O$12&lt;$BC$3:$BC$12))</f>
        <v>0</v>
      </c>
      <c r="P19" s="1">
        <f>SUMPRODUCT(NOT(ISBLANK(P$3:P$12))*(P$3:P$12&lt;$AX$3:$AX$12))</f>
        <v>0</v>
      </c>
      <c r="Q19" s="1">
        <f>SUMPRODUCT(NOT(ISBLANK(Q$3:Q$12))*(Q$3:Q$12&lt;$AY$3:$AY$12))</f>
        <v>0</v>
      </c>
      <c r="R19" s="1"/>
      <c r="S19" s="1">
        <f>SUMPRODUCT(NOT(ISBLANK(S$3:S$12))*(S$3:S$12&lt;$AZ$3:$AZ$12))</f>
        <v>0</v>
      </c>
      <c r="T19" s="1">
        <f>SUMPRODUCT(NOT(ISBLANK(T$3:T$12))*(T$3:T$12&lt;$BA$3:$BA$12))</f>
        <v>0</v>
      </c>
      <c r="U19" s="1">
        <f>SUMPRODUCT(NOT(ISBLANK(U$3:U$12))*(U$3:U$12&lt;$BB$3:$BB$12))</f>
        <v>0</v>
      </c>
      <c r="V19" s="1">
        <f>SUMPRODUCT(NOT(ISBLANK(V$3:V$12))*(V$3:V$12&lt;$BC$3:$BC$12))</f>
        <v>0</v>
      </c>
      <c r="W19" s="1">
        <f>SUMPRODUCT(NOT(ISBLANK(W$3:W$12))*(W$3:W$12&lt;$AX$3:$AX$12))</f>
        <v>0</v>
      </c>
      <c r="X19" s="1">
        <f>SUMPRODUCT(NOT(ISBLANK(X$3:X$12))*(X$3:X$12&lt;$AY$3:$AY$12))</f>
        <v>0</v>
      </c>
      <c r="Y19" s="1"/>
      <c r="Z19" s="1">
        <f>SUMPRODUCT(NOT(ISBLANK(Z$3:Z$12))*(Z$3:Z$12&lt;$AZ$3:$AZ$12))</f>
        <v>0</v>
      </c>
      <c r="AA19" s="1">
        <f>SUMPRODUCT(NOT(ISBLANK(AA$3:AA$12))*(AA$3:AA$12&lt;$BA$3:$BA$12))</f>
        <v>0</v>
      </c>
      <c r="AB19" s="1">
        <f>SUMPRODUCT(NOT(ISBLANK(AB$3:AB$12))*(AB$3:AB$12&lt;$BB$3:$BB$12))</f>
        <v>0</v>
      </c>
      <c r="AC19" s="1">
        <f>SUMPRODUCT(NOT(ISBLANK(AC$3:AC$12))*(AC$3:AC$12&lt;$BC$3:$BC$12))</f>
        <v>0</v>
      </c>
      <c r="AD19" s="1">
        <f>SUMPRODUCT(NOT(ISBLANK(AD$3:AD$12))*(AD$3:AD$12&lt;$AX$3:$AX$12))</f>
        <v>0</v>
      </c>
      <c r="AE19" s="1">
        <f>SUMPRODUCT(NOT(ISBLANK(AE$3:AE$12))*(AE$3:AE$12&lt;$AY$3:$AY$12))</f>
        <v>0</v>
      </c>
      <c r="AF19" s="1"/>
      <c r="AG19" s="1">
        <f>SUMPRODUCT(NOT(ISBLANK(AG$3:AG$12))*(AG$3:AG$12&lt;$AZ$3:$AZ$12))</f>
        <v>0</v>
      </c>
      <c r="AH19" s="1">
        <f>SUMPRODUCT(NOT(ISBLANK(AH$3:AH$12))*(AH$3:AH$12&lt;$BA$3:$BA$12))</f>
        <v>0</v>
      </c>
      <c r="AI19" s="1">
        <f>SUMPRODUCT(NOT(ISBLANK(AI$3:AI$12))*(AI$3:AI$12&lt;$BB$3:$BB$12))</f>
        <v>0</v>
      </c>
      <c r="AJ19" s="1">
        <f>SUMPRODUCT(NOT(ISBLANK(AJ$3:AJ$12))*(AJ$3:AJ$12&lt;$BC$3:$BC$12))</f>
        <v>0</v>
      </c>
      <c r="AK19" s="1">
        <f>SUMPRODUCT(NOT(ISBLANK(AK$3:AK$12))*(AK$3:AK$12&lt;$AX$3:$AX$12))</f>
        <v>0</v>
      </c>
      <c r="AL19" s="1">
        <f>SUMPRODUCT(NOT(ISBLANK(AL$3:AL$12))*(AL$3:AL$12&lt;$AY$3:$AY$12))</f>
        <v>0</v>
      </c>
      <c r="AM19" s="1"/>
      <c r="AN19" s="1">
        <f>SUMPRODUCT(NOT(ISBLANK(AN$3:AN$12))*(AN$3:AN$12&lt;$AZ$3:$AZ$12))</f>
        <v>0</v>
      </c>
      <c r="AO19" s="1">
        <f>SUMPRODUCT(NOT(ISBLANK(AO$3:AO$12))*(AO$3:AO$12&lt;$BA$3:$BA$12))</f>
        <v>0</v>
      </c>
      <c r="AP19" s="1">
        <f>SUMPRODUCT(NOT(ISBLANK(AP$3:AP$12))*(AP$3:AP$12&lt;$BB$3:$BB$12))</f>
        <v>0</v>
      </c>
      <c r="AQ19" s="1">
        <f>SUMPRODUCT(NOT(ISBLANK(AQ$3:AQ$12))*(AQ$3:AQ$12&lt;$BC$3:$BC$12))</f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>
      <c r="A20" s="1" t="s">
        <v>16</v>
      </c>
      <c r="B20" s="1">
        <f>SUMPRODUCT((NOT(ISBLANK(B$3:B$12))*(B$3:B$12&gt;$AX$3:$AX$12))+ISBLANK(B$3:B$12))</f>
        <v>0</v>
      </c>
      <c r="C20" s="1">
        <f>SUMPRODUCT((NOT(ISBLANK(C$3:C$12))*(C$3:C$12&gt;$AY$3:$AY$12))+ISBLANK(C$3:C$12))</f>
        <v>0</v>
      </c>
      <c r="D20" s="1"/>
      <c r="E20" s="1">
        <f>SUMPRODUCT((NOT(ISBLANK(E$3:E$12))*(E$3:E$12&gt;$AZ$3:$AZ$12))+ISBLANK(E$3:E$12))</f>
        <v>0</v>
      </c>
      <c r="F20" s="1">
        <f>SUMPRODUCT((NOT(ISBLANK(F$3:F$12))*(F$3:F$12&gt;$BA$3:$BA$12))+ISBLANK(F$3:F$12))</f>
        <v>0</v>
      </c>
      <c r="G20" s="1">
        <f>SUMPRODUCT((NOT(ISBLANK(G$3:G$12))*(G$3:G$12&gt;$BB$3:$BB$12))+ISBLANK(G$3:G$12))</f>
        <v>0</v>
      </c>
      <c r="H20" s="1">
        <f>SUMPRODUCT((NOT(ISBLANK(H$3:H$12))*(H$3:H$12&gt;$BC$3:$BC$12))+ISBLANK(H$3:H$12))</f>
        <v>0</v>
      </c>
      <c r="I20" s="1">
        <f>SUMPRODUCT((NOT(ISBLANK(I$3:I$12))*(I$3:I$12&gt;$AX$3:$AX$12))+ISBLANK(I$3:I$12))</f>
        <v>0</v>
      </c>
      <c r="J20" s="1">
        <f>SUMPRODUCT((NOT(ISBLANK(J$3:J$12))*(J$3:J$12&gt;$AY$3:$AY$12))+ISBLANK(J$3:J$12))</f>
        <v>0</v>
      </c>
      <c r="K20" s="1"/>
      <c r="L20" s="1">
        <f>SUMPRODUCT((NOT(ISBLANK(L$3:L$12))*(L$3:L$12&gt;$AZ$3:$AZ$12))+ISBLANK(L$3:L$12))</f>
        <v>0</v>
      </c>
      <c r="M20" s="1">
        <f>SUMPRODUCT((NOT(ISBLANK(M$3:M$12))*(M$3:M$12&gt;$BA$3:$BA$12))+ISBLANK(M$3:M$12))</f>
        <v>0</v>
      </c>
      <c r="N20" s="1">
        <f>SUMPRODUCT((NOT(ISBLANK(N$3:N$12))*(N$3:N$12&gt;$BB$3:$BB$12))+ISBLANK(N$3:N$12))</f>
        <v>0</v>
      </c>
      <c r="O20" s="1">
        <f>SUMPRODUCT((NOT(ISBLANK(O$3:O$12))*(O$3:O$12&gt;$BC$3:$BC$12))+ISBLANK(O$3:O$12))</f>
        <v>0</v>
      </c>
      <c r="P20" s="1">
        <f>SUMPRODUCT((NOT(ISBLANK(P$3:P$12))*(P$3:P$12&gt;$AX$3:$AX$12))+ISBLANK(P$3:P$12))</f>
        <v>0</v>
      </c>
      <c r="Q20" s="1">
        <f>SUMPRODUCT((NOT(ISBLANK(Q$3:Q$12))*(Q$3:Q$12&gt;$AY$3:$AY$12))+ISBLANK(Q$3:Q$12))</f>
        <v>0</v>
      </c>
      <c r="R20" s="1"/>
      <c r="S20" s="1">
        <f>SUMPRODUCT((NOT(ISBLANK(S$3:S$12))*(S$3:S$12&gt;$AZ$3:$AZ$12))+ISBLANK(S$3:S$12))</f>
        <v>0</v>
      </c>
      <c r="T20" s="1">
        <f>SUMPRODUCT((NOT(ISBLANK(T$3:T$12))*(T$3:T$12&gt;$BA$3:$BA$12))+ISBLANK(T$3:T$12))</f>
        <v>0</v>
      </c>
      <c r="U20" s="1">
        <f>SUMPRODUCT((NOT(ISBLANK(U$3:U$12))*(U$3:U$12&gt;$BB$3:$BB$12))+ISBLANK(U$3:U$12))</f>
        <v>0</v>
      </c>
      <c r="V20" s="1">
        <f>SUMPRODUCT((NOT(ISBLANK(V$3:V$12))*(V$3:V$12&gt;$BC$3:$BC$12))+ISBLANK(V$3:V$12))</f>
        <v>0</v>
      </c>
      <c r="W20" s="1">
        <f>SUMPRODUCT((NOT(ISBLANK(W$3:W$12))*(W$3:W$12&gt;$AX$3:$AX$12))+ISBLANK(W$3:W$12))</f>
        <v>0</v>
      </c>
      <c r="X20" s="1">
        <f>SUMPRODUCT((NOT(ISBLANK(X$3:X$12))*(X$3:X$12&gt;$AY$3:$AY$12))+ISBLANK(X$3:X$12))</f>
        <v>0</v>
      </c>
      <c r="Y20" s="1"/>
      <c r="Z20" s="1">
        <f>SUMPRODUCT((NOT(ISBLANK(Z$3:Z$12))*(Z$3:Z$12&gt;$AZ$3:$AZ$12))+ISBLANK(Z$3:Z$12))</f>
        <v>0</v>
      </c>
      <c r="AA20" s="1">
        <f>SUMPRODUCT((NOT(ISBLANK(AA$3:AA$12))*(AA$3:AA$12&gt;$BA$3:$BA$12))+ISBLANK(AA$3:AA$12))</f>
        <v>0</v>
      </c>
      <c r="AB20" s="1">
        <f>SUMPRODUCT((NOT(ISBLANK(AB$3:AB$12))*(AB$3:AB$12&gt;$BB$3:$BB$12))+ISBLANK(AB$3:AB$12))</f>
        <v>0</v>
      </c>
      <c r="AC20" s="1">
        <f>SUMPRODUCT((NOT(ISBLANK(AC$3:AC$12))*(AC$3:AC$12&gt;$BC$3:$BC$12))+ISBLANK(AC$3:AC$12))</f>
        <v>0</v>
      </c>
      <c r="AD20" s="1">
        <f>SUMPRODUCT((NOT(ISBLANK(AD$3:AD$12))*(AD$3:AD$12&gt;$AX$3:$AX$12))+ISBLANK(AD$3:AD$12))</f>
        <v>0</v>
      </c>
      <c r="AE20" s="1">
        <f>SUMPRODUCT((NOT(ISBLANK(AE$3:AE$12))*(AE$3:AE$12&gt;$AY$3:$AY$12))+ISBLANK(AE$3:AE$12))</f>
        <v>0</v>
      </c>
      <c r="AF20" s="1"/>
      <c r="AG20" s="1">
        <f>SUMPRODUCT((NOT(ISBLANK(AG$3:AG$12))*(AG$3:AG$12&gt;$AZ$3:$AZ$12))+ISBLANK(AG$3:AG$12))</f>
        <v>0</v>
      </c>
      <c r="AH20" s="1">
        <f>SUMPRODUCT((NOT(ISBLANK(AH$3:AH$12))*(AH$3:AH$12&gt;$BA$3:$BA$12))+ISBLANK(AH$3:AH$12))</f>
        <v>0</v>
      </c>
      <c r="AI20" s="1">
        <f>SUMPRODUCT((NOT(ISBLANK(AI$3:AI$12))*(AI$3:AI$12&gt;$BB$3:$BB$12))+ISBLANK(AI$3:AI$12))</f>
        <v>0</v>
      </c>
      <c r="AJ20" s="1">
        <f>SUMPRODUCT((NOT(ISBLANK(AJ$3:AJ$12))*(AJ$3:AJ$12&gt;$BC$3:$BC$12))+ISBLANK(AJ$3:AJ$12))</f>
        <v>0</v>
      </c>
      <c r="AK20" s="1">
        <f>SUMPRODUCT((NOT(ISBLANK(AK$3:AK$12))*(AK$3:AK$12&gt;$AX$3:$AX$12))+ISBLANK(AK$3:AK$12))</f>
        <v>0</v>
      </c>
      <c r="AL20" s="1">
        <f>SUMPRODUCT((NOT(ISBLANK(AL$3:AL$12))*(AL$3:AL$12&gt;$AY$3:$AY$12))+ISBLANK(AL$3:AL$12))</f>
        <v>0</v>
      </c>
      <c r="AM20" s="1"/>
      <c r="AN20" s="1">
        <f>SUMPRODUCT((NOT(ISBLANK(AN$3:AN$12))*(AN$3:AN$12&gt;$AZ$3:$AZ$12))+ISBLANK(AN$3:AN$12))</f>
        <v>0</v>
      </c>
      <c r="AO20" s="1">
        <f>SUMPRODUCT((NOT(ISBLANK(AO$3:AO$12))*(AO$3:AO$12&gt;$BA$3:$BA$12))+ISBLANK(AO$3:AO$12))</f>
        <v>0</v>
      </c>
      <c r="AP20" s="1">
        <f>SUMPRODUCT((NOT(ISBLANK(AP$3:AP$12))*(AP$3:AP$12&gt;$BB$3:$BB$12))+ISBLANK(AP$3:AP$12))</f>
        <v>0</v>
      </c>
      <c r="AQ20" s="1">
        <f>SUMPRODUCT((NOT(ISBLANK(AQ$3:AQ$12))*(AQ$3:AQ$12&gt;$BC$3:$BC$12))+ISBLANK(AQ$3:AQ$12))</f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>
      <c r="A21" s="1" t="s">
        <v>17</v>
      </c>
      <c r="B21" s="1">
        <f>SUMPRODUCT((NOT(ISBLANK(B$3:B$12))*(B$3:B$12=$BD$3:$BD$12))+ISBLANK(B$3:B$12))</f>
        <v>0</v>
      </c>
      <c r="C21" s="1">
        <f>SUMPRODUCT((NOT(ISBLANK(C$3:C$12))*(C$3:C$12=$BE$3:$BE$12))+ISBLANK(C$3:C$12))</f>
        <v>0</v>
      </c>
      <c r="D21" s="1"/>
      <c r="E21" s="1">
        <f>SUMPRODUCT((NOT(ISBLANK(E$3:E$12))*(E$3:E$12=$BF$3:$BF$12))+ISBLANK(E$3:E$12))</f>
        <v>0</v>
      </c>
      <c r="F21" s="1">
        <f>SUMPRODUCT((NOT(ISBLANK(F$3:F$12))*(F$3:F$12=$BG$3:$BG$12))+ISBLANK(F$3:F$12))</f>
        <v>0</v>
      </c>
      <c r="G21" s="1">
        <f>SUMPRODUCT((NOT(ISBLANK(G$3:G$12))*(G$3:G$12=$BH$3:$BH$12))+ISBLANK(G$3:G$12))</f>
        <v>0</v>
      </c>
      <c r="H21" s="1">
        <f>SUMPRODUCT((NOT(ISBLANK(H$3:H$12))*(H$3:H$12=$BI$3:$BI$12))+ISBLANK(H$3:H$12))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/>
      <c r="L21" s="1">
        <f>SUMPRODUCT((NOT(ISBLANK(L$3:L$12))*(L$3:L$12=$BF$3:$BF$12))+ISBLANK(L$3:L$12))</f>
        <v>0</v>
      </c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>
        <f>SUMPRODUCT((NOT(ISBLANK(O$3:O$12))*(O$3:O$12=$BI$3:$BI$12))+ISBLANK(O$3:O$12))</f>
        <v>0</v>
      </c>
      <c r="P21" s="1">
        <f>SUMPRODUCT((NOT(ISBLANK(P$3:P$12))*(P$3:P$12=$BD$3:$BD$12))+ISBLANK(P$3:P$12))</f>
        <v>0</v>
      </c>
      <c r="Q21" s="1">
        <f>SUMPRODUCT((NOT(ISBLANK(Q$3:Q$12))*(Q$3:Q$12=$BE$3:$BE$12))+ISBLANK(Q$3:Q$12))</f>
        <v>0</v>
      </c>
      <c r="R21" s="1"/>
      <c r="S21" s="1">
        <f>SUMPRODUCT((NOT(ISBLANK(S$3:S$12))*(S$3:S$12=$BF$3:$BF$12))+ISBLANK(S$3:S$12))</f>
        <v>0</v>
      </c>
      <c r="T21" s="1">
        <f>SUMPRODUCT((NOT(ISBLANK(T$3:T$12))*(T$3:T$12=$BG$3:$BG$12))+ISBLANK(T$3:T$12))</f>
        <v>0</v>
      </c>
      <c r="U21" s="1">
        <f>SUMPRODUCT((NOT(ISBLANK(U$3:U$12))*(U$3:U$12=$BH$3:$BH$12))+ISBLANK(U$3:U$12))</f>
        <v>0</v>
      </c>
      <c r="V21" s="1">
        <f>SUMPRODUCT((NOT(ISBLANK(V$3:V$12))*(V$3:V$12=$BI$3:$BI$12))+ISBLANK(V$3:V$12))</f>
        <v>0</v>
      </c>
      <c r="W21" s="1">
        <f>SUMPRODUCT((NOT(ISBLANK(W$3:W$12))*(W$3:W$12=$BD$3:$BD$12))+ISBLANK(W$3:W$12))</f>
        <v>0</v>
      </c>
      <c r="X21" s="1">
        <f>SUMPRODUCT((NOT(ISBLANK(X$3:X$12))*(X$3:X$12=$BE$3:$BE$12))+ISBLANK(X$3:X$12))</f>
        <v>0</v>
      </c>
      <c r="Y21" s="1"/>
      <c r="Z21" s="1">
        <f>SUMPRODUCT((NOT(ISBLANK(Z$3:Z$12))*(Z$3:Z$12=$BF$3:$BF$12))+ISBLANK(Z$3:Z$12))</f>
        <v>0</v>
      </c>
      <c r="AA21" s="1">
        <f>SUMPRODUCT((NOT(ISBLANK(AA$3:AA$12))*(AA$3:AA$12=$BG$3:$BG$12))+ISBLANK(AA$3:AA$12))</f>
        <v>0</v>
      </c>
      <c r="AB21" s="1">
        <f>SUMPRODUCT((NOT(ISBLANK(AB$3:AB$12))*(AB$3:AB$12=$BH$3:$BH$12))+ISBLANK(AB$3:AB$12))</f>
        <v>0</v>
      </c>
      <c r="AC21" s="1">
        <f>SUMPRODUCT((NOT(ISBLANK(AC$3:AC$12))*(AC$3:AC$12=$BI$3:$BI$12))+ISBLANK(AC$3:AC$12))</f>
        <v>0</v>
      </c>
      <c r="AD21" s="1">
        <f>SUMPRODUCT((NOT(ISBLANK(AD$3:AD$12))*(AD$3:AD$12=$BD$3:$BD$12))+ISBLANK(AD$3:AD$12))</f>
        <v>0</v>
      </c>
      <c r="AE21" s="1">
        <f>SUMPRODUCT((NOT(ISBLANK(AE$3:AE$12))*(AE$3:AE$12=$BE$3:$BE$12))+ISBLANK(AE$3:AE$12))</f>
        <v>0</v>
      </c>
      <c r="AF21" s="1"/>
      <c r="AG21" s="1">
        <f>SUMPRODUCT((NOT(ISBLANK(AG$3:AG$12))*(AG$3:AG$12=$BF$3:$BF$12))+ISBLANK(AG$3:AG$12))</f>
        <v>0</v>
      </c>
      <c r="AH21" s="1">
        <f>SUMPRODUCT((NOT(ISBLANK(AH$3:AH$12))*(AH$3:AH$12=$BG$3:$BG$12))+ISBLANK(AH$3:AH$12))</f>
        <v>0</v>
      </c>
      <c r="AI21" s="1">
        <f>SUMPRODUCT((NOT(ISBLANK(AI$3:AI$12))*(AI$3:AI$12=$BH$3:$BH$12))+ISBLANK(AI$3:AI$12))</f>
        <v>0</v>
      </c>
      <c r="AJ21" s="1">
        <f>SUMPRODUCT((NOT(ISBLANK(AJ$3:AJ$12))*(AJ$3:AJ$12=$BI$3:$BI$12))+ISBLANK(AJ$3:AJ$12))</f>
        <v>0</v>
      </c>
      <c r="AK21" s="1">
        <f>SUMPRODUCT((NOT(ISBLANK(AK$3:AK$12))*(AK$3:AK$12=$BD$3:$BD$12))+ISBLANK(AK$3:AK$12))</f>
        <v>0</v>
      </c>
      <c r="AL21" s="1">
        <f>SUMPRODUCT((NOT(ISBLANK(AL$3:AL$12))*(AL$3:AL$12=$BE$3:$BE$12))+ISBLANK(AL$3:AL$12))</f>
        <v>0</v>
      </c>
      <c r="AM21" s="1"/>
      <c r="AN21" s="1">
        <f>SUMPRODUCT((NOT(ISBLANK(AN$3:AN$12))*(AN$3:AN$12=$BF$3:$BF$12))+ISBLANK(AN$3:AN$12))</f>
        <v>0</v>
      </c>
      <c r="AO21" s="1">
        <f>SUMPRODUCT((NOT(ISBLANK(AO$3:AO$12))*(AO$3:AO$12=$BG$3:$BG$12))+ISBLANK(AO$3:AO$12))</f>
        <v>0</v>
      </c>
      <c r="AP21" s="1">
        <f>SUMPRODUCT((NOT(ISBLANK(AP$3:AP$12))*(AP$3:AP$12=$BH$3:$BH$12))+ISBLANK(AP$3:AP$12))</f>
        <v>0</v>
      </c>
      <c r="AQ21" s="1">
        <f>SUMPRODUCT((NOT(ISBLANK(AQ$3:AQ$12))*(AQ$3:AQ$12=$BI$3:$BI$12))+ISBLANK(AQ$3:AQ$12))</f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1" width="11.42578125" customWidth="1"/>
  </cols>
  <sheetData>
    <row r="1" spans="1:61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/>
      <c r="AD1" s="1" t="s">
        <v>30</v>
      </c>
      <c r="AE1" s="1"/>
      <c r="AF1" s="1"/>
      <c r="AG1" s="1"/>
      <c r="AH1" s="1"/>
      <c r="AI1" s="1"/>
      <c r="AJ1" s="1"/>
      <c r="AK1" s="1" t="s">
        <v>31</v>
      </c>
      <c r="AL1" s="1"/>
      <c r="AM1" s="1"/>
      <c r="AN1" s="1"/>
      <c r="AO1" s="1"/>
      <c r="AP1" s="1"/>
      <c r="AQ1" s="1"/>
      <c r="AR1" s="1" t="s">
        <v>32</v>
      </c>
      <c r="AS1" s="1"/>
      <c r="AT1" s="1"/>
      <c r="AU1" s="1"/>
      <c r="AV1" s="1"/>
      <c r="AW1" s="1"/>
      <c r="AX1" s="1" t="s">
        <v>33</v>
      </c>
      <c r="AY1" s="1"/>
      <c r="AZ1" s="1"/>
      <c r="BA1" s="1"/>
      <c r="BB1" s="1"/>
      <c r="BC1" s="1"/>
      <c r="BD1" s="1" t="s">
        <v>34</v>
      </c>
      <c r="BE1" s="1"/>
      <c r="BF1" s="1"/>
      <c r="BG1" s="1"/>
      <c r="BH1" s="1"/>
      <c r="BI1" s="1"/>
    </row>
    <row r="2" spans="1:61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  <c r="AI2" s="1" t="s">
        <v>25</v>
      </c>
      <c r="AJ2" s="1" t="s">
        <v>26</v>
      </c>
      <c r="AK2" s="1" t="s">
        <v>19</v>
      </c>
      <c r="AL2" s="1" t="s">
        <v>20</v>
      </c>
      <c r="AM2" s="1" t="s">
        <v>21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19</v>
      </c>
      <c r="AS2" s="1" t="s">
        <v>20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19</v>
      </c>
      <c r="AY2" s="1" t="s">
        <v>20</v>
      </c>
      <c r="AZ2" s="1" t="s">
        <v>23</v>
      </c>
      <c r="BA2" s="1" t="s">
        <v>24</v>
      </c>
      <c r="BB2" s="1" t="s">
        <v>25</v>
      </c>
      <c r="BC2" s="1" t="s">
        <v>26</v>
      </c>
      <c r="BD2" s="1" t="s">
        <v>19</v>
      </c>
      <c r="BE2" s="1" t="s">
        <v>20</v>
      </c>
      <c r="BF2" s="1" t="s">
        <v>23</v>
      </c>
      <c r="BG2" s="1" t="s">
        <v>24</v>
      </c>
      <c r="BH2" s="1" t="s">
        <v>25</v>
      </c>
      <c r="BI2" s="1" t="s">
        <v>26</v>
      </c>
    </row>
    <row r="3" spans="1:61">
      <c r="A3" s="1" t="s">
        <v>36</v>
      </c>
      <c r="B3" s="1">
        <f>AVERAGE(Instances!B3:Instances!B12)</f>
        <v>0</v>
      </c>
      <c r="C3" s="1">
        <f>AVERAGE(Instances!C3:Instances!C12)</f>
        <v>0</v>
      </c>
      <c r="D3" s="1"/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/>
      <c r="L3" s="1">
        <f>AVERAGE(Instances!L3:Instances!L12)</f>
        <v>0</v>
      </c>
      <c r="M3" s="1">
        <f>AVERAGE(Instances!M3:Instances!M12)</f>
        <v>0</v>
      </c>
      <c r="N3" s="1">
        <f>AVERAGE(Instances!N3:Instances!N12)</f>
        <v>0</v>
      </c>
      <c r="O3" s="1">
        <f>AVERAGE(Instances!O3:Instances!O12)</f>
        <v>0</v>
      </c>
      <c r="P3" s="1">
        <f>AVERAGE(Instances!P3:Instances!P12)</f>
        <v>0</v>
      </c>
      <c r="Q3" s="1">
        <f>AVERAGE(Instances!Q3:Instances!Q12)</f>
        <v>0</v>
      </c>
      <c r="R3" s="1"/>
      <c r="S3" s="1">
        <f>AVERAGE(Instances!S3:Instances!S12)</f>
        <v>0</v>
      </c>
      <c r="T3" s="1">
        <f>AVERAGE(Instances!T3:Instances!T12)</f>
        <v>0</v>
      </c>
      <c r="U3" s="1">
        <f>AVERAGE(Instances!U3:Instances!U12)</f>
        <v>0</v>
      </c>
      <c r="V3" s="1">
        <f>AVERAGE(Instances!V3:Instances!V12)</f>
        <v>0</v>
      </c>
      <c r="W3" s="1">
        <f>AVERAGE(Instances!W3:Instances!W12)</f>
        <v>0</v>
      </c>
      <c r="X3" s="1">
        <f>AVERAGE(Instances!X3:Instances!X12)</f>
        <v>0</v>
      </c>
      <c r="Y3" s="1"/>
      <c r="Z3" s="1">
        <f>AVERAGE(Instances!Z3:Instances!Z12)</f>
        <v>0</v>
      </c>
      <c r="AA3" s="1">
        <f>AVERAGE(Instances!AA3:Instances!AA12)</f>
        <v>0</v>
      </c>
      <c r="AB3" s="1">
        <f>AVERAGE(Instances!AB3:Instances!AB12)</f>
        <v>0</v>
      </c>
      <c r="AC3" s="1">
        <f>AVERAGE(Instances!AC3:Instances!AC12)</f>
        <v>0</v>
      </c>
      <c r="AD3" s="1">
        <f>AVERAGE(Instances!AD3:Instances!AD12)</f>
        <v>0</v>
      </c>
      <c r="AE3" s="1">
        <f>AVERAGE(Instances!AE3:Instances!AE12)</f>
        <v>0</v>
      </c>
      <c r="AF3" s="1"/>
      <c r="AG3" s="1">
        <f>AVERAGE(Instances!AG3:Instances!AG12)</f>
        <v>0</v>
      </c>
      <c r="AH3" s="1">
        <f>AVERAGE(Instances!AH3:Instances!AH12)</f>
        <v>0</v>
      </c>
      <c r="AI3" s="1">
        <f>AVERAGE(Instances!AI3:Instances!AI12)</f>
        <v>0</v>
      </c>
      <c r="AJ3" s="1">
        <f>AVERAGE(Instances!AJ3:Instances!AJ12)</f>
        <v>0</v>
      </c>
      <c r="AK3" s="1">
        <f>AVERAGE(Instances!AK3:Instances!AK12)</f>
        <v>0</v>
      </c>
      <c r="AL3" s="1">
        <f>AVERAGE(Instances!AL3:Instances!AL12)</f>
        <v>0</v>
      </c>
      <c r="AM3" s="1"/>
      <c r="AN3" s="1">
        <f>AVERAGE(Instances!AN3:Instances!AN12)</f>
        <v>0</v>
      </c>
      <c r="AO3" s="1">
        <f>AVERAGE(Instances!AO3:Instances!AO12)</f>
        <v>0</v>
      </c>
      <c r="AP3" s="1">
        <f>AVERAGE(Instances!AP3:Instances!AP12)</f>
        <v>0</v>
      </c>
      <c r="AQ3" s="1">
        <f>AVERAGE(Instances!AQ3:Instances!AQ12)</f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>
      <c r="A5" s="1" t="s">
        <v>10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>
        <f>SUM(BH$3:BH$3)</f>
        <v>0</v>
      </c>
      <c r="BI5" s="1">
        <f>SUM(BI$3:BI$3)</f>
        <v>0</v>
      </c>
    </row>
    <row r="6" spans="1:61">
      <c r="A6" s="1" t="s">
        <v>11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>
        <f>AVERAGE(BH$3:BH$3)</f>
        <v>0</v>
      </c>
      <c r="BI6" s="1">
        <f>AVERAGE(BI$3:BI$3)</f>
        <v>0</v>
      </c>
    </row>
    <row r="7" spans="1:61">
      <c r="A7" s="1" t="s">
        <v>12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>
        <f>STDEV(BH$3:BH$3)</f>
        <v>0</v>
      </c>
      <c r="BI7" s="1">
        <f>STDEV(BI$3:BI$3)</f>
        <v>0</v>
      </c>
    </row>
    <row r="8" spans="1:61">
      <c r="A8" s="1" t="s">
        <v>13</v>
      </c>
      <c r="B8" s="1">
        <f>SUMPRODUCT(--(B$3:B$3-$AR$3:$AR$3)^2)^0.5</f>
        <v>0</v>
      </c>
      <c r="C8" s="1">
        <f>SUMPRODUCT(--(C$3:C$3-$AS$3:$AS$3)^2)^0.5</f>
        <v>0</v>
      </c>
      <c r="D8" s="1"/>
      <c r="E8" s="1">
        <f>SUMPRODUCT(--(E$3:E$3-$AT$3:$AT$3)^2)^0.5</f>
        <v>0</v>
      </c>
      <c r="F8" s="1">
        <f>SUMPRODUCT(--(F$3:F$3-$AU$3:$AU$3)^2)^0.5</f>
        <v>0</v>
      </c>
      <c r="G8" s="1">
        <f>SUMPRODUCT(--(G$3:G$3-$AV$3:$AV$3)^2)^0.5</f>
        <v>0</v>
      </c>
      <c r="H8" s="1">
        <f>SUMPRODUCT(--(H$3:H$3-$AW$3:$AW$3)^2)^0.5</f>
        <v>0</v>
      </c>
      <c r="I8" s="1">
        <f>SUMPRODUCT(--(I$3:I$3-$AR$3:$AR$3)^2)^0.5</f>
        <v>0</v>
      </c>
      <c r="J8" s="1">
        <f>SUMPRODUCT(--(J$3:J$3-$AS$3:$AS$3)^2)^0.5</f>
        <v>0</v>
      </c>
      <c r="K8" s="1"/>
      <c r="L8" s="1">
        <f>SUMPRODUCT(--(L$3:L$3-$AT$3:$AT$3)^2)^0.5</f>
        <v>0</v>
      </c>
      <c r="M8" s="1">
        <f>SUMPRODUCT(--(M$3:M$3-$AU$3:$AU$3)^2)^0.5</f>
        <v>0</v>
      </c>
      <c r="N8" s="1">
        <f>SUMPRODUCT(--(N$3:N$3-$AV$3:$AV$3)^2)^0.5</f>
        <v>0</v>
      </c>
      <c r="O8" s="1">
        <f>SUMPRODUCT(--(O$3:O$3-$AW$3:$AW$3)^2)^0.5</f>
        <v>0</v>
      </c>
      <c r="P8" s="1">
        <f>SUMPRODUCT(--(P$3:P$3-$AR$3:$AR$3)^2)^0.5</f>
        <v>0</v>
      </c>
      <c r="Q8" s="1">
        <f>SUMPRODUCT(--(Q$3:Q$3-$AS$3:$AS$3)^2)^0.5</f>
        <v>0</v>
      </c>
      <c r="R8" s="1"/>
      <c r="S8" s="1">
        <f>SUMPRODUCT(--(S$3:S$3-$AT$3:$AT$3)^2)^0.5</f>
        <v>0</v>
      </c>
      <c r="T8" s="1">
        <f>SUMPRODUCT(--(T$3:T$3-$AU$3:$AU$3)^2)^0.5</f>
        <v>0</v>
      </c>
      <c r="U8" s="1">
        <f>SUMPRODUCT(--(U$3:U$3-$AV$3:$AV$3)^2)^0.5</f>
        <v>0</v>
      </c>
      <c r="V8" s="1">
        <f>SUMPRODUCT(--(V$3:V$3-$AW$3:$AW$3)^2)^0.5</f>
        <v>0</v>
      </c>
      <c r="W8" s="1">
        <f>SUMPRODUCT(--(W$3:W$3-$AR$3:$AR$3)^2)^0.5</f>
        <v>0</v>
      </c>
      <c r="X8" s="1">
        <f>SUMPRODUCT(--(X$3:X$3-$AS$3:$AS$3)^2)^0.5</f>
        <v>0</v>
      </c>
      <c r="Y8" s="1"/>
      <c r="Z8" s="1">
        <f>SUMPRODUCT(--(Z$3:Z$3-$AT$3:$AT$3)^2)^0.5</f>
        <v>0</v>
      </c>
      <c r="AA8" s="1">
        <f>SUMPRODUCT(--(AA$3:AA$3-$AU$3:$AU$3)^2)^0.5</f>
        <v>0</v>
      </c>
      <c r="AB8" s="1">
        <f>SUMPRODUCT(--(AB$3:AB$3-$AV$3:$AV$3)^2)^0.5</f>
        <v>0</v>
      </c>
      <c r="AC8" s="1">
        <f>SUMPRODUCT(--(AC$3:AC$3-$AW$3:$AW$3)^2)^0.5</f>
        <v>0</v>
      </c>
      <c r="AD8" s="1">
        <f>SUMPRODUCT(--(AD$3:AD$3-$AR$3:$AR$3)^2)^0.5</f>
        <v>0</v>
      </c>
      <c r="AE8" s="1">
        <f>SUMPRODUCT(--(AE$3:AE$3-$AS$3:$AS$3)^2)^0.5</f>
        <v>0</v>
      </c>
      <c r="AF8" s="1"/>
      <c r="AG8" s="1">
        <f>SUMPRODUCT(--(AG$3:AG$3-$AT$3:$AT$3)^2)^0.5</f>
        <v>0</v>
      </c>
      <c r="AH8" s="1">
        <f>SUMPRODUCT(--(AH$3:AH$3-$AU$3:$AU$3)^2)^0.5</f>
        <v>0</v>
      </c>
      <c r="AI8" s="1">
        <f>SUMPRODUCT(--(AI$3:AI$3-$AV$3:$AV$3)^2)^0.5</f>
        <v>0</v>
      </c>
      <c r="AJ8" s="1">
        <f>SUMPRODUCT(--(AJ$3:AJ$3-$AW$3:$AW$3)^2)^0.5</f>
        <v>0</v>
      </c>
      <c r="AK8" s="1">
        <f>SUMPRODUCT(--(AK$3:AK$3-$AR$3:$AR$3)^2)^0.5</f>
        <v>0</v>
      </c>
      <c r="AL8" s="1">
        <f>SUMPRODUCT(--(AL$3:AL$3-$AS$3:$AS$3)^2)^0.5</f>
        <v>0</v>
      </c>
      <c r="AM8" s="1"/>
      <c r="AN8" s="1">
        <f>SUMPRODUCT(--(AN$3:AN$3-$AT$3:$AT$3)^2)^0.5</f>
        <v>0</v>
      </c>
      <c r="AO8" s="1">
        <f>SUMPRODUCT(--(AO$3:AO$3-$AU$3:$AU$3)^2)^0.5</f>
        <v>0</v>
      </c>
      <c r="AP8" s="1">
        <f>SUMPRODUCT(--(AP$3:AP$3-$AV$3:$AV$3)^2)^0.5</f>
        <v>0</v>
      </c>
      <c r="AQ8" s="1">
        <f>SUMPRODUCT(--(AQ$3:AQ$3-$AW$3:$AW$3)^2)^0.5</f>
        <v>0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1">
      <c r="A9" s="1" t="s">
        <v>14</v>
      </c>
      <c r="B9" s="1">
        <f>SUMPRODUCT(NOT(ISBLANK(B$3:B$3))*(B$3:B$3=$AR$3:$AR$3))</f>
        <v>0</v>
      </c>
      <c r="C9" s="1">
        <f>SUMPRODUCT(NOT(ISBLANK(C$3:C$3))*(C$3:C$3=$AS$3:$AS$3))</f>
        <v>0</v>
      </c>
      <c r="D9" s="1"/>
      <c r="E9" s="1">
        <f>SUMPRODUCT(NOT(ISBLANK(E$3:E$3))*(E$3:E$3=$AT$3:$AT$3))</f>
        <v>0</v>
      </c>
      <c r="F9" s="1">
        <f>SUMPRODUCT(NOT(ISBLANK(F$3:F$3))*(F$3:F$3=$AU$3:$AU$3))</f>
        <v>0</v>
      </c>
      <c r="G9" s="1">
        <f>SUMPRODUCT(NOT(ISBLANK(G$3:G$3))*(G$3:G$3=$AV$3:$AV$3))</f>
        <v>0</v>
      </c>
      <c r="H9" s="1">
        <f>SUMPRODUCT(NOT(ISBLANK(H$3:H$3))*(H$3:H$3=$AW$3:$AW$3))</f>
        <v>0</v>
      </c>
      <c r="I9" s="1">
        <f>SUMPRODUCT(NOT(ISBLANK(I$3:I$3))*(I$3:I$3=$AR$3:$AR$3))</f>
        <v>0</v>
      </c>
      <c r="J9" s="1">
        <f>SUMPRODUCT(NOT(ISBLANK(J$3:J$3))*(J$3:J$3=$AS$3:$AS$3))</f>
        <v>0</v>
      </c>
      <c r="K9" s="1"/>
      <c r="L9" s="1">
        <f>SUMPRODUCT(NOT(ISBLANK(L$3:L$3))*(L$3:L$3=$AT$3:$AT$3))</f>
        <v>0</v>
      </c>
      <c r="M9" s="1">
        <f>SUMPRODUCT(NOT(ISBLANK(M$3:M$3))*(M$3:M$3=$AU$3:$AU$3))</f>
        <v>0</v>
      </c>
      <c r="N9" s="1">
        <f>SUMPRODUCT(NOT(ISBLANK(N$3:N$3))*(N$3:N$3=$AV$3:$AV$3))</f>
        <v>0</v>
      </c>
      <c r="O9" s="1">
        <f>SUMPRODUCT(NOT(ISBLANK(O$3:O$3))*(O$3:O$3=$AW$3:$AW$3))</f>
        <v>0</v>
      </c>
      <c r="P9" s="1">
        <f>SUMPRODUCT(NOT(ISBLANK(P$3:P$3))*(P$3:P$3=$AR$3:$AR$3))</f>
        <v>0</v>
      </c>
      <c r="Q9" s="1">
        <f>SUMPRODUCT(NOT(ISBLANK(Q$3:Q$3))*(Q$3:Q$3=$AS$3:$AS$3))</f>
        <v>0</v>
      </c>
      <c r="R9" s="1"/>
      <c r="S9" s="1">
        <f>SUMPRODUCT(NOT(ISBLANK(S$3:S$3))*(S$3:S$3=$AT$3:$AT$3))</f>
        <v>0</v>
      </c>
      <c r="T9" s="1">
        <f>SUMPRODUCT(NOT(ISBLANK(T$3:T$3))*(T$3:T$3=$AU$3:$AU$3))</f>
        <v>0</v>
      </c>
      <c r="U9" s="1">
        <f>SUMPRODUCT(NOT(ISBLANK(U$3:U$3))*(U$3:U$3=$AV$3:$AV$3))</f>
        <v>0</v>
      </c>
      <c r="V9" s="1">
        <f>SUMPRODUCT(NOT(ISBLANK(V$3:V$3))*(V$3:V$3=$AW$3:$AW$3))</f>
        <v>0</v>
      </c>
      <c r="W9" s="1">
        <f>SUMPRODUCT(NOT(ISBLANK(W$3:W$3))*(W$3:W$3=$AR$3:$AR$3))</f>
        <v>0</v>
      </c>
      <c r="X9" s="1">
        <f>SUMPRODUCT(NOT(ISBLANK(X$3:X$3))*(X$3:X$3=$AS$3:$AS$3))</f>
        <v>0</v>
      </c>
      <c r="Y9" s="1"/>
      <c r="Z9" s="1">
        <f>SUMPRODUCT(NOT(ISBLANK(Z$3:Z$3))*(Z$3:Z$3=$AT$3:$AT$3))</f>
        <v>0</v>
      </c>
      <c r="AA9" s="1">
        <f>SUMPRODUCT(NOT(ISBLANK(AA$3:AA$3))*(AA$3:AA$3=$AU$3:$AU$3))</f>
        <v>0</v>
      </c>
      <c r="AB9" s="1">
        <f>SUMPRODUCT(NOT(ISBLANK(AB$3:AB$3))*(AB$3:AB$3=$AV$3:$AV$3))</f>
        <v>0</v>
      </c>
      <c r="AC9" s="1">
        <f>SUMPRODUCT(NOT(ISBLANK(AC$3:AC$3))*(AC$3:AC$3=$AW$3:$AW$3))</f>
        <v>0</v>
      </c>
      <c r="AD9" s="1">
        <f>SUMPRODUCT(NOT(ISBLANK(AD$3:AD$3))*(AD$3:AD$3=$AR$3:$AR$3))</f>
        <v>0</v>
      </c>
      <c r="AE9" s="1">
        <f>SUMPRODUCT(NOT(ISBLANK(AE$3:AE$3))*(AE$3:AE$3=$AS$3:$AS$3))</f>
        <v>0</v>
      </c>
      <c r="AF9" s="1"/>
      <c r="AG9" s="1">
        <f>SUMPRODUCT(NOT(ISBLANK(AG$3:AG$3))*(AG$3:AG$3=$AT$3:$AT$3))</f>
        <v>0</v>
      </c>
      <c r="AH9" s="1">
        <f>SUMPRODUCT(NOT(ISBLANK(AH$3:AH$3))*(AH$3:AH$3=$AU$3:$AU$3))</f>
        <v>0</v>
      </c>
      <c r="AI9" s="1">
        <f>SUMPRODUCT(NOT(ISBLANK(AI$3:AI$3))*(AI$3:AI$3=$AV$3:$AV$3))</f>
        <v>0</v>
      </c>
      <c r="AJ9" s="1">
        <f>SUMPRODUCT(NOT(ISBLANK(AJ$3:AJ$3))*(AJ$3:AJ$3=$AW$3:$AW$3))</f>
        <v>0</v>
      </c>
      <c r="AK9" s="1">
        <f>SUMPRODUCT(NOT(ISBLANK(AK$3:AK$3))*(AK$3:AK$3=$AR$3:$AR$3))</f>
        <v>0</v>
      </c>
      <c r="AL9" s="1">
        <f>SUMPRODUCT(NOT(ISBLANK(AL$3:AL$3))*(AL$3:AL$3=$AS$3:$AS$3))</f>
        <v>0</v>
      </c>
      <c r="AM9" s="1"/>
      <c r="AN9" s="1">
        <f>SUMPRODUCT(NOT(ISBLANK(AN$3:AN$3))*(AN$3:AN$3=$AT$3:$AT$3))</f>
        <v>0</v>
      </c>
      <c r="AO9" s="1">
        <f>SUMPRODUCT(NOT(ISBLANK(AO$3:AO$3))*(AO$3:AO$3=$AU$3:$AU$3))</f>
        <v>0</v>
      </c>
      <c r="AP9" s="1">
        <f>SUMPRODUCT(NOT(ISBLANK(AP$3:AP$3))*(AP$3:AP$3=$AV$3:$AV$3))</f>
        <v>0</v>
      </c>
      <c r="AQ9" s="1">
        <f>SUMPRODUCT(NOT(ISBLANK(AQ$3:AQ$3))*(AQ$3:AQ$3=$AW$3:$AW$3))</f>
        <v>0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>
      <c r="A10" s="1" t="s">
        <v>15</v>
      </c>
      <c r="B10" s="1">
        <f>SUMPRODUCT(NOT(ISBLANK(B$3:B$3))*(B$3:B$3&lt;$AX$3:$AX$3))</f>
        <v>0</v>
      </c>
      <c r="C10" s="1">
        <f>SUMPRODUCT(NOT(ISBLANK(C$3:C$3))*(C$3:C$3&lt;$AY$3:$AY$3))</f>
        <v>0</v>
      </c>
      <c r="D10" s="1"/>
      <c r="E10" s="1">
        <f>SUMPRODUCT(NOT(ISBLANK(E$3:E$3))*(E$3:E$3&lt;$AZ$3:$AZ$3))</f>
        <v>0</v>
      </c>
      <c r="F10" s="1">
        <f>SUMPRODUCT(NOT(ISBLANK(F$3:F$3))*(F$3:F$3&lt;$BA$3:$BA$3))</f>
        <v>0</v>
      </c>
      <c r="G10" s="1">
        <f>SUMPRODUCT(NOT(ISBLANK(G$3:G$3))*(G$3:G$3&lt;$BB$3:$BB$3))</f>
        <v>0</v>
      </c>
      <c r="H10" s="1">
        <f>SUMPRODUCT(NOT(ISBLANK(H$3:H$3))*(H$3:H$3&lt;$BC$3:$BC$3))</f>
        <v>0</v>
      </c>
      <c r="I10" s="1">
        <f>SUMPRODUCT(NOT(ISBLANK(I$3:I$3))*(I$3:I$3&lt;$AX$3:$AX$3))</f>
        <v>0</v>
      </c>
      <c r="J10" s="1">
        <f>SUMPRODUCT(NOT(ISBLANK(J$3:J$3))*(J$3:J$3&lt;$AY$3:$AY$3))</f>
        <v>0</v>
      </c>
      <c r="K10" s="1"/>
      <c r="L10" s="1">
        <f>SUMPRODUCT(NOT(ISBLANK(L$3:L$3))*(L$3:L$3&lt;$AZ$3:$AZ$3))</f>
        <v>0</v>
      </c>
      <c r="M10" s="1">
        <f>SUMPRODUCT(NOT(ISBLANK(M$3:M$3))*(M$3:M$3&lt;$BA$3:$BA$3))</f>
        <v>0</v>
      </c>
      <c r="N10" s="1">
        <f>SUMPRODUCT(NOT(ISBLANK(N$3:N$3))*(N$3:N$3&lt;$BB$3:$BB$3))</f>
        <v>0</v>
      </c>
      <c r="O10" s="1">
        <f>SUMPRODUCT(NOT(ISBLANK(O$3:O$3))*(O$3:O$3&lt;$BC$3:$BC$3))</f>
        <v>0</v>
      </c>
      <c r="P10" s="1">
        <f>SUMPRODUCT(NOT(ISBLANK(P$3:P$3))*(P$3:P$3&lt;$AX$3:$AX$3))</f>
        <v>0</v>
      </c>
      <c r="Q10" s="1">
        <f>SUMPRODUCT(NOT(ISBLANK(Q$3:Q$3))*(Q$3:Q$3&lt;$AY$3:$AY$3))</f>
        <v>0</v>
      </c>
      <c r="R10" s="1"/>
      <c r="S10" s="1">
        <f>SUMPRODUCT(NOT(ISBLANK(S$3:S$3))*(S$3:S$3&lt;$AZ$3:$AZ$3))</f>
        <v>0</v>
      </c>
      <c r="T10" s="1">
        <f>SUMPRODUCT(NOT(ISBLANK(T$3:T$3))*(T$3:T$3&lt;$BA$3:$BA$3))</f>
        <v>0</v>
      </c>
      <c r="U10" s="1">
        <f>SUMPRODUCT(NOT(ISBLANK(U$3:U$3))*(U$3:U$3&lt;$BB$3:$BB$3))</f>
        <v>0</v>
      </c>
      <c r="V10" s="1">
        <f>SUMPRODUCT(NOT(ISBLANK(V$3:V$3))*(V$3:V$3&lt;$BC$3:$BC$3))</f>
        <v>0</v>
      </c>
      <c r="W10" s="1">
        <f>SUMPRODUCT(NOT(ISBLANK(W$3:W$3))*(W$3:W$3&lt;$AX$3:$AX$3))</f>
        <v>0</v>
      </c>
      <c r="X10" s="1">
        <f>SUMPRODUCT(NOT(ISBLANK(X$3:X$3))*(X$3:X$3&lt;$AY$3:$AY$3))</f>
        <v>0</v>
      </c>
      <c r="Y10" s="1"/>
      <c r="Z10" s="1">
        <f>SUMPRODUCT(NOT(ISBLANK(Z$3:Z$3))*(Z$3:Z$3&lt;$AZ$3:$AZ$3))</f>
        <v>0</v>
      </c>
      <c r="AA10" s="1">
        <f>SUMPRODUCT(NOT(ISBLANK(AA$3:AA$3))*(AA$3:AA$3&lt;$BA$3:$BA$3))</f>
        <v>0</v>
      </c>
      <c r="AB10" s="1">
        <f>SUMPRODUCT(NOT(ISBLANK(AB$3:AB$3))*(AB$3:AB$3&lt;$BB$3:$BB$3))</f>
        <v>0</v>
      </c>
      <c r="AC10" s="1">
        <f>SUMPRODUCT(NOT(ISBLANK(AC$3:AC$3))*(AC$3:AC$3&lt;$BC$3:$BC$3))</f>
        <v>0</v>
      </c>
      <c r="AD10" s="1">
        <f>SUMPRODUCT(NOT(ISBLANK(AD$3:AD$3))*(AD$3:AD$3&lt;$AX$3:$AX$3))</f>
        <v>0</v>
      </c>
      <c r="AE10" s="1">
        <f>SUMPRODUCT(NOT(ISBLANK(AE$3:AE$3))*(AE$3:AE$3&lt;$AY$3:$AY$3))</f>
        <v>0</v>
      </c>
      <c r="AF10" s="1"/>
      <c r="AG10" s="1">
        <f>SUMPRODUCT(NOT(ISBLANK(AG$3:AG$3))*(AG$3:AG$3&lt;$AZ$3:$AZ$3))</f>
        <v>0</v>
      </c>
      <c r="AH10" s="1">
        <f>SUMPRODUCT(NOT(ISBLANK(AH$3:AH$3))*(AH$3:AH$3&lt;$BA$3:$BA$3))</f>
        <v>0</v>
      </c>
      <c r="AI10" s="1">
        <f>SUMPRODUCT(NOT(ISBLANK(AI$3:AI$3))*(AI$3:AI$3&lt;$BB$3:$BB$3))</f>
        <v>0</v>
      </c>
      <c r="AJ10" s="1">
        <f>SUMPRODUCT(NOT(ISBLANK(AJ$3:AJ$3))*(AJ$3:AJ$3&lt;$BC$3:$BC$3))</f>
        <v>0</v>
      </c>
      <c r="AK10" s="1">
        <f>SUMPRODUCT(NOT(ISBLANK(AK$3:AK$3))*(AK$3:AK$3&lt;$AX$3:$AX$3))</f>
        <v>0</v>
      </c>
      <c r="AL10" s="1">
        <f>SUMPRODUCT(NOT(ISBLANK(AL$3:AL$3))*(AL$3:AL$3&lt;$AY$3:$AY$3))</f>
        <v>0</v>
      </c>
      <c r="AM10" s="1"/>
      <c r="AN10" s="1">
        <f>SUMPRODUCT(NOT(ISBLANK(AN$3:AN$3))*(AN$3:AN$3&lt;$AZ$3:$AZ$3))</f>
        <v>0</v>
      </c>
      <c r="AO10" s="1">
        <f>SUMPRODUCT(NOT(ISBLANK(AO$3:AO$3))*(AO$3:AO$3&lt;$BA$3:$BA$3))</f>
        <v>0</v>
      </c>
      <c r="AP10" s="1">
        <f>SUMPRODUCT(NOT(ISBLANK(AP$3:AP$3))*(AP$3:AP$3&lt;$BB$3:$BB$3))</f>
        <v>0</v>
      </c>
      <c r="AQ10" s="1">
        <f>SUMPRODUCT(NOT(ISBLANK(AQ$3:AQ$3))*(AQ$3:AQ$3&lt;$BC$3:$BC$3))</f>
        <v>0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spans="1:61">
      <c r="A11" s="1" t="s">
        <v>16</v>
      </c>
      <c r="B11" s="1">
        <f>SUMPRODUCT((NOT(ISBLANK(B$3:B$3))*(B$3:B$3&gt;$AX$3:$AX$3))+ISBLANK(B$3:B$3))</f>
        <v>0</v>
      </c>
      <c r="C11" s="1">
        <f>SUMPRODUCT((NOT(ISBLANK(C$3:C$3))*(C$3:C$3&gt;$AY$3:$AY$3))+ISBLANK(C$3:C$3))</f>
        <v>0</v>
      </c>
      <c r="D11" s="1"/>
      <c r="E11" s="1">
        <f>SUMPRODUCT((NOT(ISBLANK(E$3:E$3))*(E$3:E$3&gt;$AZ$3:$AZ$3))+ISBLANK(E$3:E$3))</f>
        <v>0</v>
      </c>
      <c r="F11" s="1">
        <f>SUMPRODUCT((NOT(ISBLANK(F$3:F$3))*(F$3:F$3&gt;$BA$3:$BA$3))+ISBLANK(F$3:F$3))</f>
        <v>0</v>
      </c>
      <c r="G11" s="1">
        <f>SUMPRODUCT((NOT(ISBLANK(G$3:G$3))*(G$3:G$3&gt;$BB$3:$BB$3))+ISBLANK(G$3:G$3))</f>
        <v>0</v>
      </c>
      <c r="H11" s="1">
        <f>SUMPRODUCT((NOT(ISBLANK(H$3:H$3))*(H$3:H$3&gt;$BC$3:$BC$3))+ISBLANK(H$3:H$3))</f>
        <v>0</v>
      </c>
      <c r="I11" s="1">
        <f>SUMPRODUCT((NOT(ISBLANK(I$3:I$3))*(I$3:I$3&gt;$AX$3:$AX$3))+ISBLANK(I$3:I$3))</f>
        <v>0</v>
      </c>
      <c r="J11" s="1">
        <f>SUMPRODUCT((NOT(ISBLANK(J$3:J$3))*(J$3:J$3&gt;$AY$3:$AY$3))+ISBLANK(J$3:J$3))</f>
        <v>0</v>
      </c>
      <c r="K11" s="1"/>
      <c r="L11" s="1">
        <f>SUMPRODUCT((NOT(ISBLANK(L$3:L$3))*(L$3:L$3&gt;$AZ$3:$AZ$3))+ISBLANK(L$3:L$3))</f>
        <v>0</v>
      </c>
      <c r="M11" s="1">
        <f>SUMPRODUCT((NOT(ISBLANK(M$3:M$3))*(M$3:M$3&gt;$BA$3:$BA$3))+ISBLANK(M$3:M$3))</f>
        <v>0</v>
      </c>
      <c r="N11" s="1">
        <f>SUMPRODUCT((NOT(ISBLANK(N$3:N$3))*(N$3:N$3&gt;$BB$3:$BB$3))+ISBLANK(N$3:N$3))</f>
        <v>0</v>
      </c>
      <c r="O11" s="1">
        <f>SUMPRODUCT((NOT(ISBLANK(O$3:O$3))*(O$3:O$3&gt;$BC$3:$BC$3))+ISBLANK(O$3:O$3))</f>
        <v>0</v>
      </c>
      <c r="P11" s="1">
        <f>SUMPRODUCT((NOT(ISBLANK(P$3:P$3))*(P$3:P$3&gt;$AX$3:$AX$3))+ISBLANK(P$3:P$3))</f>
        <v>0</v>
      </c>
      <c r="Q11" s="1">
        <f>SUMPRODUCT((NOT(ISBLANK(Q$3:Q$3))*(Q$3:Q$3&gt;$AY$3:$AY$3))+ISBLANK(Q$3:Q$3))</f>
        <v>0</v>
      </c>
      <c r="R11" s="1"/>
      <c r="S11" s="1">
        <f>SUMPRODUCT((NOT(ISBLANK(S$3:S$3))*(S$3:S$3&gt;$AZ$3:$AZ$3))+ISBLANK(S$3:S$3))</f>
        <v>0</v>
      </c>
      <c r="T11" s="1">
        <f>SUMPRODUCT((NOT(ISBLANK(T$3:T$3))*(T$3:T$3&gt;$BA$3:$BA$3))+ISBLANK(T$3:T$3))</f>
        <v>0</v>
      </c>
      <c r="U11" s="1">
        <f>SUMPRODUCT((NOT(ISBLANK(U$3:U$3))*(U$3:U$3&gt;$BB$3:$BB$3))+ISBLANK(U$3:U$3))</f>
        <v>0</v>
      </c>
      <c r="V11" s="1">
        <f>SUMPRODUCT((NOT(ISBLANK(V$3:V$3))*(V$3:V$3&gt;$BC$3:$BC$3))+ISBLANK(V$3:V$3))</f>
        <v>0</v>
      </c>
      <c r="W11" s="1">
        <f>SUMPRODUCT((NOT(ISBLANK(W$3:W$3))*(W$3:W$3&gt;$AX$3:$AX$3))+ISBLANK(W$3:W$3))</f>
        <v>0</v>
      </c>
      <c r="X11" s="1">
        <f>SUMPRODUCT((NOT(ISBLANK(X$3:X$3))*(X$3:X$3&gt;$AY$3:$AY$3))+ISBLANK(X$3:X$3))</f>
        <v>0</v>
      </c>
      <c r="Y11" s="1"/>
      <c r="Z11" s="1">
        <f>SUMPRODUCT((NOT(ISBLANK(Z$3:Z$3))*(Z$3:Z$3&gt;$AZ$3:$AZ$3))+ISBLANK(Z$3:Z$3))</f>
        <v>0</v>
      </c>
      <c r="AA11" s="1">
        <f>SUMPRODUCT((NOT(ISBLANK(AA$3:AA$3))*(AA$3:AA$3&gt;$BA$3:$BA$3))+ISBLANK(AA$3:AA$3))</f>
        <v>0</v>
      </c>
      <c r="AB11" s="1">
        <f>SUMPRODUCT((NOT(ISBLANK(AB$3:AB$3))*(AB$3:AB$3&gt;$BB$3:$BB$3))+ISBLANK(AB$3:AB$3))</f>
        <v>0</v>
      </c>
      <c r="AC11" s="1">
        <f>SUMPRODUCT((NOT(ISBLANK(AC$3:AC$3))*(AC$3:AC$3&gt;$BC$3:$BC$3))+ISBLANK(AC$3:AC$3))</f>
        <v>0</v>
      </c>
      <c r="AD11" s="1">
        <f>SUMPRODUCT((NOT(ISBLANK(AD$3:AD$3))*(AD$3:AD$3&gt;$AX$3:$AX$3))+ISBLANK(AD$3:AD$3))</f>
        <v>0</v>
      </c>
      <c r="AE11" s="1">
        <f>SUMPRODUCT((NOT(ISBLANK(AE$3:AE$3))*(AE$3:AE$3&gt;$AY$3:$AY$3))+ISBLANK(AE$3:AE$3))</f>
        <v>0</v>
      </c>
      <c r="AF11" s="1"/>
      <c r="AG11" s="1">
        <f>SUMPRODUCT((NOT(ISBLANK(AG$3:AG$3))*(AG$3:AG$3&gt;$AZ$3:$AZ$3))+ISBLANK(AG$3:AG$3))</f>
        <v>0</v>
      </c>
      <c r="AH11" s="1">
        <f>SUMPRODUCT((NOT(ISBLANK(AH$3:AH$3))*(AH$3:AH$3&gt;$BA$3:$BA$3))+ISBLANK(AH$3:AH$3))</f>
        <v>0</v>
      </c>
      <c r="AI11" s="1">
        <f>SUMPRODUCT((NOT(ISBLANK(AI$3:AI$3))*(AI$3:AI$3&gt;$BB$3:$BB$3))+ISBLANK(AI$3:AI$3))</f>
        <v>0</v>
      </c>
      <c r="AJ11" s="1">
        <f>SUMPRODUCT((NOT(ISBLANK(AJ$3:AJ$3))*(AJ$3:AJ$3&gt;$BC$3:$BC$3))+ISBLANK(AJ$3:AJ$3))</f>
        <v>0</v>
      </c>
      <c r="AK11" s="1">
        <f>SUMPRODUCT((NOT(ISBLANK(AK$3:AK$3))*(AK$3:AK$3&gt;$AX$3:$AX$3))+ISBLANK(AK$3:AK$3))</f>
        <v>0</v>
      </c>
      <c r="AL11" s="1">
        <f>SUMPRODUCT((NOT(ISBLANK(AL$3:AL$3))*(AL$3:AL$3&gt;$AY$3:$AY$3))+ISBLANK(AL$3:AL$3))</f>
        <v>0</v>
      </c>
      <c r="AM11" s="1"/>
      <c r="AN11" s="1">
        <f>SUMPRODUCT((NOT(ISBLANK(AN$3:AN$3))*(AN$3:AN$3&gt;$AZ$3:$AZ$3))+ISBLANK(AN$3:AN$3))</f>
        <v>0</v>
      </c>
      <c r="AO11" s="1">
        <f>SUMPRODUCT((NOT(ISBLANK(AO$3:AO$3))*(AO$3:AO$3&gt;$BA$3:$BA$3))+ISBLANK(AO$3:AO$3))</f>
        <v>0</v>
      </c>
      <c r="AP11" s="1">
        <f>SUMPRODUCT((NOT(ISBLANK(AP$3:AP$3))*(AP$3:AP$3&gt;$BB$3:$BB$3))+ISBLANK(AP$3:AP$3))</f>
        <v>0</v>
      </c>
      <c r="AQ11" s="1">
        <f>SUMPRODUCT((NOT(ISBLANK(AQ$3:AQ$3))*(AQ$3:AQ$3&gt;$BC$3:$BC$3))+ISBLANK(AQ$3:AQ$3))</f>
        <v>0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spans="1:61">
      <c r="A12" s="1" t="s">
        <v>17</v>
      </c>
      <c r="B12" s="1">
        <f>SUMPRODUCT((NOT(ISBLANK(B$3:B$3))*(B$3:B$3=$BD$3:$BD$3))+ISBLANK(B$3:B$3))</f>
        <v>0</v>
      </c>
      <c r="C12" s="1">
        <f>SUMPRODUCT((NOT(ISBLANK(C$3:C$3))*(C$3:C$3=$BE$3:$BE$3))+ISBLANK(C$3:C$3))</f>
        <v>0</v>
      </c>
      <c r="D12" s="1"/>
      <c r="E12" s="1">
        <f>SUMPRODUCT((NOT(ISBLANK(E$3:E$3))*(E$3:E$3=$BF$3:$BF$3))+ISBLANK(E$3:E$3))</f>
        <v>0</v>
      </c>
      <c r="F12" s="1">
        <f>SUMPRODUCT((NOT(ISBLANK(F$3:F$3))*(F$3:F$3=$BG$3:$BG$3))+ISBLANK(F$3:F$3))</f>
        <v>0</v>
      </c>
      <c r="G12" s="1">
        <f>SUMPRODUCT((NOT(ISBLANK(G$3:G$3))*(G$3:G$3=$BH$3:$BH$3))+ISBLANK(G$3:G$3))</f>
        <v>0</v>
      </c>
      <c r="H12" s="1">
        <f>SUMPRODUCT((NOT(ISBLANK(H$3:H$3))*(H$3:H$3=$BI$3:$BI$3))+ISBLANK(H$3:H$3))</f>
        <v>0</v>
      </c>
      <c r="I12" s="1">
        <f>SUMPRODUCT((NOT(ISBLANK(I$3:I$3))*(I$3:I$3=$BD$3:$BD$3))+ISBLANK(I$3:I$3))</f>
        <v>0</v>
      </c>
      <c r="J12" s="1">
        <f>SUMPRODUCT((NOT(ISBLANK(J$3:J$3))*(J$3:J$3=$BE$3:$BE$3))+ISBLANK(J$3:J$3))</f>
        <v>0</v>
      </c>
      <c r="K12" s="1"/>
      <c r="L12" s="1">
        <f>SUMPRODUCT((NOT(ISBLANK(L$3:L$3))*(L$3:L$3=$BF$3:$BF$3))+ISBLANK(L$3:L$3))</f>
        <v>0</v>
      </c>
      <c r="M12" s="1">
        <f>SUMPRODUCT((NOT(ISBLANK(M$3:M$3))*(M$3:M$3=$BG$3:$BG$3))+ISBLANK(M$3:M$3))</f>
        <v>0</v>
      </c>
      <c r="N12" s="1">
        <f>SUMPRODUCT((NOT(ISBLANK(N$3:N$3))*(N$3:N$3=$BH$3:$BH$3))+ISBLANK(N$3:N$3))</f>
        <v>0</v>
      </c>
      <c r="O12" s="1">
        <f>SUMPRODUCT((NOT(ISBLANK(O$3:O$3))*(O$3:O$3=$BI$3:$BI$3))+ISBLANK(O$3:O$3))</f>
        <v>0</v>
      </c>
      <c r="P12" s="1">
        <f>SUMPRODUCT((NOT(ISBLANK(P$3:P$3))*(P$3:P$3=$BD$3:$BD$3))+ISBLANK(P$3:P$3))</f>
        <v>0</v>
      </c>
      <c r="Q12" s="1">
        <f>SUMPRODUCT((NOT(ISBLANK(Q$3:Q$3))*(Q$3:Q$3=$BE$3:$BE$3))+ISBLANK(Q$3:Q$3))</f>
        <v>0</v>
      </c>
      <c r="R12" s="1"/>
      <c r="S12" s="1">
        <f>SUMPRODUCT((NOT(ISBLANK(S$3:S$3))*(S$3:S$3=$BF$3:$BF$3))+ISBLANK(S$3:S$3))</f>
        <v>0</v>
      </c>
      <c r="T12" s="1">
        <f>SUMPRODUCT((NOT(ISBLANK(T$3:T$3))*(T$3:T$3=$BG$3:$BG$3))+ISBLANK(T$3:T$3))</f>
        <v>0</v>
      </c>
      <c r="U12" s="1">
        <f>SUMPRODUCT((NOT(ISBLANK(U$3:U$3))*(U$3:U$3=$BH$3:$BH$3))+ISBLANK(U$3:U$3))</f>
        <v>0</v>
      </c>
      <c r="V12" s="1">
        <f>SUMPRODUCT((NOT(ISBLANK(V$3:V$3))*(V$3:V$3=$BI$3:$BI$3))+ISBLANK(V$3:V$3))</f>
        <v>0</v>
      </c>
      <c r="W12" s="1">
        <f>SUMPRODUCT((NOT(ISBLANK(W$3:W$3))*(W$3:W$3=$BD$3:$BD$3))+ISBLANK(W$3:W$3))</f>
        <v>0</v>
      </c>
      <c r="X12" s="1">
        <f>SUMPRODUCT((NOT(ISBLANK(X$3:X$3))*(X$3:X$3=$BE$3:$BE$3))+ISBLANK(X$3:X$3))</f>
        <v>0</v>
      </c>
      <c r="Y12" s="1"/>
      <c r="Z12" s="1">
        <f>SUMPRODUCT((NOT(ISBLANK(Z$3:Z$3))*(Z$3:Z$3=$BF$3:$BF$3))+ISBLANK(Z$3:Z$3))</f>
        <v>0</v>
      </c>
      <c r="AA12" s="1">
        <f>SUMPRODUCT((NOT(ISBLANK(AA$3:AA$3))*(AA$3:AA$3=$BG$3:$BG$3))+ISBLANK(AA$3:AA$3))</f>
        <v>0</v>
      </c>
      <c r="AB12" s="1">
        <f>SUMPRODUCT((NOT(ISBLANK(AB$3:AB$3))*(AB$3:AB$3=$BH$3:$BH$3))+ISBLANK(AB$3:AB$3))</f>
        <v>0</v>
      </c>
      <c r="AC12" s="1">
        <f>SUMPRODUCT((NOT(ISBLANK(AC$3:AC$3))*(AC$3:AC$3=$BI$3:$BI$3))+ISBLANK(AC$3:AC$3))</f>
        <v>0</v>
      </c>
      <c r="AD12" s="1">
        <f>SUMPRODUCT((NOT(ISBLANK(AD$3:AD$3))*(AD$3:AD$3=$BD$3:$BD$3))+ISBLANK(AD$3:AD$3))</f>
        <v>0</v>
      </c>
      <c r="AE12" s="1">
        <f>SUMPRODUCT((NOT(ISBLANK(AE$3:AE$3))*(AE$3:AE$3=$BE$3:$BE$3))+ISBLANK(AE$3:AE$3))</f>
        <v>0</v>
      </c>
      <c r="AF12" s="1"/>
      <c r="AG12" s="1">
        <f>SUMPRODUCT((NOT(ISBLANK(AG$3:AG$3))*(AG$3:AG$3=$BF$3:$BF$3))+ISBLANK(AG$3:AG$3))</f>
        <v>0</v>
      </c>
      <c r="AH12" s="1">
        <f>SUMPRODUCT((NOT(ISBLANK(AH$3:AH$3))*(AH$3:AH$3=$BG$3:$BG$3))+ISBLANK(AH$3:AH$3))</f>
        <v>0</v>
      </c>
      <c r="AI12" s="1">
        <f>SUMPRODUCT((NOT(ISBLANK(AI$3:AI$3))*(AI$3:AI$3=$BH$3:$BH$3))+ISBLANK(AI$3:AI$3))</f>
        <v>0</v>
      </c>
      <c r="AJ12" s="1">
        <f>SUMPRODUCT((NOT(ISBLANK(AJ$3:AJ$3))*(AJ$3:AJ$3=$BI$3:$BI$3))+ISBLANK(AJ$3:AJ$3))</f>
        <v>0</v>
      </c>
      <c r="AK12" s="1">
        <f>SUMPRODUCT((NOT(ISBLANK(AK$3:AK$3))*(AK$3:AK$3=$BD$3:$BD$3))+ISBLANK(AK$3:AK$3))</f>
        <v>0</v>
      </c>
      <c r="AL12" s="1">
        <f>SUMPRODUCT((NOT(ISBLANK(AL$3:AL$3))*(AL$3:AL$3=$BE$3:$BE$3))+ISBLANK(AL$3:AL$3))</f>
        <v>0</v>
      </c>
      <c r="AM12" s="1"/>
      <c r="AN12" s="1">
        <f>SUMPRODUCT((NOT(ISBLANK(AN$3:AN$3))*(AN$3:AN$3=$BF$3:$BF$3))+ISBLANK(AN$3:AN$3))</f>
        <v>0</v>
      </c>
      <c r="AO12" s="1">
        <f>SUMPRODUCT((NOT(ISBLANK(AO$3:AO$3))*(AO$3:AO$3=$BG$3:$BG$3))+ISBLANK(AO$3:AO$3))</f>
        <v>0</v>
      </c>
      <c r="AP12" s="1">
        <f>SUMPRODUCT((NOT(ISBLANK(AP$3:AP$3))*(AP$3:AP$3=$BH$3:$BH$3))+ISBLANK(AP$3:AP$3))</f>
        <v>0</v>
      </c>
      <c r="AQ12" s="1">
        <f>SUMPRODUCT((NOT(ISBLANK(AQ$3:AQ$3))*(AQ$3:AQ$3=$BI$3:$BI$3))+ISBLANK(AQ$3:AQ$3))</f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2026-03-05T15:36:09Z</dcterms:created>
  <dcterms:modified xsi:type="dcterms:W3CDTF">2026-03-05T15:36:09Z</dcterms:modified>
</cp:coreProperties>
</file>