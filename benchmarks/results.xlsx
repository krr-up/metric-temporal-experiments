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Instances"/>
    <sheet r:id="rId2" sheetId="2" name="Merged Runs"/>
    <sheet r:id="rId3" sheetId="3" name="Classes"/>
  </sheets>
  <calcPr fullCalcOnLoad="1"/>
</workbook>
</file>

<file path=xl/sharedStrings.xml><?xml version="1.0" encoding="utf-8"?>
<sst xmlns="http://schemas.openxmlformats.org/spreadsheetml/2006/main" count="146" uniqueCount="34">
  <si>
    <t>memelingo-1/lambda-large_20_mlp-tplp-htc</t>
  </si>
  <si>
    <t>memelingo-1/lambda-large_20_mlp-tplp-htcdl</t>
  </si>
  <si>
    <t>memelingo-1/lambda-large_30_mlp-tplp-htc</t>
  </si>
  <si>
    <t>memelingo-1/lambda-large_30_mlp-tplp-htcdl</t>
  </si>
  <si>
    <t>memelingo-1/lambda-large_40_mlp-tplp-htc</t>
  </si>
  <si>
    <t>memelingo-1/lambda-large_40_mlp-tplp-htcdl</t>
  </si>
  <si>
    <t>memelingo-1/lambda-small_10_mlp-tplp-ht</t>
  </si>
  <si>
    <t>memelingo-1/lambda-small_10_mlp-tplp-htc</t>
  </si>
  <si>
    <t>memelingo-1/lambda-small_10_mlp-tplp-htcdl</t>
  </si>
  <si>
    <t>memelingo-1/lambda-small_13_mlp-tplp-ht</t>
  </si>
  <si>
    <t>memelingo-1/lambda-small_13_mlp-tplp-htc</t>
  </si>
  <si>
    <t>memelingo-1/lambda-small_13_mlp-tplp-htcdl</t>
  </si>
  <si>
    <t>memelingo-1/lambda-small_15_mlp-tplp-ht</t>
  </si>
  <si>
    <t>memelingo-1/lambda-small_15_mlp-tplp-htc</t>
  </si>
  <si>
    <t>memelingo-1/lambda-small_15_mlp-tplp-htcdl</t>
  </si>
  <si>
    <t>min</t>
  </si>
  <si>
    <t>median</t>
  </si>
  <si>
    <t>max</t>
  </si>
  <si>
    <t>time</t>
  </si>
  <si>
    <t>instances</t>
  </si>
  <si>
    <t>SUM</t>
  </si>
  <si>
    <t>AVG</t>
  </si>
  <si>
    <t>DEV</t>
  </si>
  <si>
    <t>DST</t>
  </si>
  <si>
    <t>BEST</t>
  </si>
  <si>
    <t>BETTER</t>
  </si>
  <si>
    <t>WORSE</t>
  </si>
  <si>
    <t>WORST</t>
  </si>
  <si>
    <t>Merge criteria:</t>
  </si>
  <si>
    <t>instances/ft06</t>
  </si>
  <si>
    <t>instances/ft10</t>
  </si>
  <si>
    <t>instances/ft10const</t>
  </si>
  <si>
    <t>instances/ft10const-1</t>
  </si>
  <si>
    <t>instances/ft10const-10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</si>
</sst>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8">
    <xf xfId="0" numFmtId="0" borderId="0" fontId="0" fillId="0"/>
    <xf xfId="0" numFmtId="4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left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1" applyBorder="1" fontId="1" applyFont="1" fillId="0" applyAlignment="1">
      <alignment horizontal="left"/>
    </xf>
    <xf xfId="0" numFmtId="0" borderId="2" applyBorder="1" fontId="1" applyFont="1" fillId="2" applyFill="1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15"/>
  <sheetViews>
    <sheetView workbookViewId="0" tabSelected="1">
      <pane state="frozen" activePane="bottomLeft" topLeftCell="A3" ySplit="2" xSplit="0"/>
    </sheetView>
  </sheetViews>
  <sheetFormatPr defaultRowHeight="15" x14ac:dyDescent="0.25"/>
  <cols>
    <col min="1" max="1" style="3" width="21.862142857142857" customWidth="1" bestFit="1"/>
    <col min="2" max="2" style="4" width="40.57642857142857" customWidth="1" bestFit="1"/>
    <col min="3" max="3" style="4" width="42.29071428571429" customWidth="1" bestFit="1"/>
    <col min="4" max="4" style="4" width="40.57642857142857" customWidth="1" bestFit="1"/>
    <col min="5" max="5" style="4" width="42.29071428571429" customWidth="1" bestFit="1"/>
    <col min="6" max="6" style="4" width="40.57642857142857" customWidth="1" bestFit="1"/>
    <col min="7" max="7" style="4" width="42.29071428571429" customWidth="1" bestFit="1"/>
    <col min="8" max="8" style="4" width="40.005" customWidth="1" bestFit="1"/>
    <col min="9" max="9" style="4" width="40.86214285714286" customWidth="1" bestFit="1"/>
    <col min="10" max="10" style="4" width="42.57642857142857" customWidth="1" bestFit="1"/>
    <col min="11" max="11" style="4" width="40.005" customWidth="1" bestFit="1"/>
    <col min="12" max="12" style="4" width="40.86214285714286" customWidth="1" bestFit="1"/>
    <col min="13" max="13" style="4" width="42.57642857142857" customWidth="1" bestFit="1"/>
    <col min="14" max="14" style="4" width="40.005" customWidth="1" bestFit="1"/>
    <col min="15" max="15" style="4" width="40.86214285714286" customWidth="1" bestFit="1"/>
    <col min="16" max="16" style="4" width="42.57642857142857" customWidth="1" bestFit="1"/>
    <col min="17" max="17" style="3" width="11.43357142857143" customWidth="1" bestFit="1"/>
    <col min="18" max="18" style="3" width="11.43357142857143" customWidth="1" bestFit="1"/>
    <col min="19" max="19" style="3" width="11.43357142857143" customWidth="1" bestFit="1"/>
  </cols>
  <sheetData>
    <row x14ac:dyDescent="0.25" r="1" customHeight="1" ht="17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</row>
    <row x14ac:dyDescent="0.25" r="2" customHeight="1" ht="17.25">
      <c r="A2" s="1"/>
      <c r="B2" s="2" t="s">
        <v>18</v>
      </c>
      <c r="C2" s="2" t="s">
        <v>18</v>
      </c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  <c r="Q2" s="2" t="s">
        <v>18</v>
      </c>
      <c r="R2" s="2" t="s">
        <v>18</v>
      </c>
      <c r="S2" s="2" t="s">
        <v>18</v>
      </c>
    </row>
    <row x14ac:dyDescent="0.25" r="3" customHeight="1" ht="17.25">
      <c r="A3" s="2" t="s">
        <v>29</v>
      </c>
      <c r="B3" s="1"/>
      <c r="C3" s="1"/>
      <c r="D3" s="1"/>
      <c r="E3" s="1"/>
      <c r="F3" s="1"/>
      <c r="G3" s="1"/>
      <c r="H3" s="1">
        <v>250.85</v>
      </c>
      <c r="I3" s="1">
        <v>10.3</v>
      </c>
      <c r="J3" s="1">
        <v>9.43</v>
      </c>
      <c r="K3" s="1">
        <v>189.76</v>
      </c>
      <c r="L3" s="1">
        <v>14.38</v>
      </c>
      <c r="M3" s="1">
        <v>15.17</v>
      </c>
      <c r="N3" s="1">
        <v>218.56</v>
      </c>
      <c r="O3" s="1">
        <v>15.51</v>
      </c>
      <c r="P3" s="1">
        <v>19.73</v>
      </c>
      <c r="Q3" s="1">
        <f>MIN($B3,$C3,$D3,$E3,$F3,$G3,$H3,$I3,$J3,$K3,$L3,$M3,$N3,$O3,$P3)</f>
      </c>
      <c r="R3" s="1">
        <f>MEDIAN($B3,$C3,$D3,$E3,$F3,$G3,$H3,$I3,$J3,$K3,$L3,$M3,$N3,$O3,$P3)</f>
      </c>
      <c r="S3" s="1">
        <f>MAX($B3,$C3,$D3,$E3,$F3,$G3,$H3,$I3,$J3,$K3,$L3,$M3,$N3,$O3,$P3)</f>
      </c>
    </row>
    <row x14ac:dyDescent="0.25" r="4" customHeight="1" ht="17.25">
      <c r="A4" s="2" t="s">
        <v>30</v>
      </c>
      <c r="B4" s="1">
        <v>1200</v>
      </c>
      <c r="C4" s="1">
        <v>1200</v>
      </c>
      <c r="D4" s="1">
        <v>1200</v>
      </c>
      <c r="E4" s="1">
        <v>1200</v>
      </c>
      <c r="F4" s="1">
        <v>1200</v>
      </c>
      <c r="G4" s="1">
        <v>1200</v>
      </c>
      <c r="H4" s="1"/>
      <c r="I4" s="1"/>
      <c r="J4" s="1"/>
      <c r="K4" s="1"/>
      <c r="L4" s="1"/>
      <c r="M4" s="1"/>
      <c r="N4" s="1"/>
      <c r="O4" s="1"/>
      <c r="P4" s="1"/>
      <c r="Q4" s="1">
        <f>MIN($B4,$C4,$D4,$E4,$F4,$G4,$H4,$I4,$J4,$K4,$L4,$M4,$N4,$O4,$P4)</f>
      </c>
      <c r="R4" s="1">
        <f>MEDIAN($B4,$C4,$D4,$E4,$F4,$G4,$H4,$I4,$J4,$K4,$L4,$M4,$N4,$O4,$P4)</f>
      </c>
      <c r="S4" s="1">
        <f>MAX($B4,$C4,$D4,$E4,$F4,$G4,$H4,$I4,$J4,$K4,$L4,$M4,$N4,$O4,$P4)</f>
      </c>
    </row>
    <row x14ac:dyDescent="0.25" r="5" customHeight="1" ht="17.25">
      <c r="A5" s="2" t="s">
        <v>32</v>
      </c>
      <c r="B5" s="1">
        <v>19.83</v>
      </c>
      <c r="C5" s="1">
        <v>30.57</v>
      </c>
      <c r="D5" s="1">
        <v>23.01</v>
      </c>
      <c r="E5" s="1">
        <v>111.12</v>
      </c>
      <c r="F5" s="1">
        <v>34.23</v>
      </c>
      <c r="G5" s="1">
        <v>328.52</v>
      </c>
      <c r="H5" s="1"/>
      <c r="I5" s="1"/>
      <c r="J5" s="1"/>
      <c r="K5" s="1"/>
      <c r="L5" s="1"/>
      <c r="M5" s="1"/>
      <c r="N5" s="1"/>
      <c r="O5" s="1"/>
      <c r="P5" s="1"/>
      <c r="Q5" s="1">
        <f>MIN($B5,$C5,$D5,$E5,$F5,$G5,$H5,$I5,$J5,$K5,$L5,$M5,$N5,$O5,$P5)</f>
      </c>
      <c r="R5" s="1">
        <f>MEDIAN($B5,$C5,$D5,$E5,$F5,$G5,$H5,$I5,$J5,$K5,$L5,$M5,$N5,$O5,$P5)</f>
      </c>
      <c r="S5" s="1">
        <f>MAX($B5,$C5,$D5,$E5,$F5,$G5,$H5,$I5,$J5,$K5,$L5,$M5,$N5,$O5,$P5)</f>
      </c>
    </row>
    <row x14ac:dyDescent="0.25" r="6" customHeight="1" ht="17.25">
      <c r="A6" s="2" t="s">
        <v>33</v>
      </c>
      <c r="B6" s="1">
        <v>254.7</v>
      </c>
      <c r="C6" s="1">
        <v>49.33</v>
      </c>
      <c r="D6" s="1">
        <v>116.17</v>
      </c>
      <c r="E6" s="1">
        <v>139.07</v>
      </c>
      <c r="F6" s="1">
        <v>78.71</v>
      </c>
      <c r="G6" s="1">
        <v>369.65</v>
      </c>
      <c r="H6" s="1"/>
      <c r="I6" s="1"/>
      <c r="J6" s="1"/>
      <c r="K6" s="1"/>
      <c r="L6" s="1"/>
      <c r="M6" s="1"/>
      <c r="N6" s="1"/>
      <c r="O6" s="1"/>
      <c r="P6" s="1"/>
      <c r="Q6" s="1">
        <f>MIN($B6,$C6,$D6,$E6,$F6,$G6,$H6,$I6,$J6,$K6,$L6,$M6,$N6,$O6,$P6)</f>
      </c>
      <c r="R6" s="1">
        <f>MEDIAN($B6,$C6,$D6,$E6,$F6,$G6,$H6,$I6,$J6,$K6,$L6,$M6,$N6,$O6,$P6)</f>
      </c>
      <c r="S6" s="1">
        <f>MAX($B6,$C6,$D6,$E6,$F6,$G6,$H6,$I6,$J6,$K6,$L6,$M6,$N6,$O6,$P6)</f>
      </c>
    </row>
    <row x14ac:dyDescent="0.25" r="7" customHeight="1" ht="17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x14ac:dyDescent="0.25" r="8" customHeight="1" ht="17.25">
      <c r="A8" s="2" t="s">
        <v>20</v>
      </c>
      <c r="B8" s="1">
        <f>SUM(B$3:B$6)</f>
      </c>
      <c r="C8" s="1">
        <f>SUM(C$3:C$6)</f>
      </c>
      <c r="D8" s="1">
        <f>SUM(D$3:D$6)</f>
      </c>
      <c r="E8" s="1">
        <f>SUM(E$3:E$6)</f>
      </c>
      <c r="F8" s="1">
        <f>SUM(F$3:F$6)</f>
      </c>
      <c r="G8" s="1">
        <f>SUM(G$3:G$6)</f>
      </c>
      <c r="H8" s="1">
        <f>SUM(H$3:H$6)</f>
      </c>
      <c r="I8" s="1">
        <f>SUM(I$3:I$6)</f>
      </c>
      <c r="J8" s="1">
        <f>SUM(J$3:J$6)</f>
      </c>
      <c r="K8" s="1">
        <f>SUM(K$3:K$6)</f>
      </c>
      <c r="L8" s="1">
        <f>SUM(L$3:L$6)</f>
      </c>
      <c r="M8" s="1">
        <f>SUM(M$3:M$6)</f>
      </c>
      <c r="N8" s="1">
        <f>SUM(N$3:N$6)</f>
      </c>
      <c r="O8" s="1">
        <f>SUM(O$3:O$6)</f>
      </c>
      <c r="P8" s="1">
        <f>SUM(P$3:P$6)</f>
      </c>
      <c r="Q8" s="1">
        <f>SUM(Q$3:Q$6)</f>
      </c>
      <c r="R8" s="1">
        <f>SUM(R$3:R$6)</f>
      </c>
      <c r="S8" s="1">
        <f>SUM(S$3:S$6)</f>
      </c>
    </row>
    <row x14ac:dyDescent="0.25" r="9" customHeight="1" ht="17.25">
      <c r="A9" s="2" t="s">
        <v>21</v>
      </c>
      <c r="B9" s="1">
        <f>AVERAGE(B$3:B$6)</f>
      </c>
      <c r="C9" s="1">
        <f>AVERAGE(C$3:C$6)</f>
      </c>
      <c r="D9" s="1">
        <f>AVERAGE(D$3:D$6)</f>
      </c>
      <c r="E9" s="1">
        <f>AVERAGE(E$3:E$6)</f>
      </c>
      <c r="F9" s="1">
        <f>AVERAGE(F$3:F$6)</f>
      </c>
      <c r="G9" s="1">
        <f>AVERAGE(G$3:G$6)</f>
      </c>
      <c r="H9" s="1">
        <f>AVERAGE(H$3:H$6)</f>
      </c>
      <c r="I9" s="1">
        <f>AVERAGE(I$3:I$6)</f>
      </c>
      <c r="J9" s="1">
        <f>AVERAGE(J$3:J$6)</f>
      </c>
      <c r="K9" s="1">
        <f>AVERAGE(K$3:K$6)</f>
      </c>
      <c r="L9" s="1">
        <f>AVERAGE(L$3:L$6)</f>
      </c>
      <c r="M9" s="1">
        <f>AVERAGE(M$3:M$6)</f>
      </c>
      <c r="N9" s="1">
        <f>AVERAGE(N$3:N$6)</f>
      </c>
      <c r="O9" s="1">
        <f>AVERAGE(O$3:O$6)</f>
      </c>
      <c r="P9" s="1">
        <f>AVERAGE(P$3:P$6)</f>
      </c>
      <c r="Q9" s="1">
        <f>AVERAGE(Q$3:Q$6)</f>
      </c>
      <c r="R9" s="1">
        <f>AVERAGE(R$3:R$6)</f>
      </c>
      <c r="S9" s="1">
        <f>AVERAGE(S$3:S$6)</f>
      </c>
    </row>
    <row x14ac:dyDescent="0.25" r="10" customHeight="1" ht="17.25">
      <c r="A10" s="2" t="s">
        <v>22</v>
      </c>
      <c r="B10" s="1">
        <f>STDEV(B$3:B$6)</f>
      </c>
      <c r="C10" s="1">
        <f>STDEV(C$3:C$6)</f>
      </c>
      <c r="D10" s="1">
        <f>STDEV(D$3:D$6)</f>
      </c>
      <c r="E10" s="1">
        <f>STDEV(E$3:E$6)</f>
      </c>
      <c r="F10" s="1">
        <f>STDEV(F$3:F$6)</f>
      </c>
      <c r="G10" s="1">
        <f>STDEV(G$3:G$6)</f>
      </c>
      <c r="H10" s="1">
        <f>STDEV(H$3:H$6)</f>
      </c>
      <c r="I10" s="1">
        <f>STDEV(I$3:I$6)</f>
      </c>
      <c r="J10" s="1">
        <f>STDEV(J$3:J$6)</f>
      </c>
      <c r="K10" s="1">
        <f>STDEV(K$3:K$6)</f>
      </c>
      <c r="L10" s="1">
        <f>STDEV(L$3:L$6)</f>
      </c>
      <c r="M10" s="1">
        <f>STDEV(M$3:M$6)</f>
      </c>
      <c r="N10" s="1">
        <f>STDEV(N$3:N$6)</f>
      </c>
      <c r="O10" s="1">
        <f>STDEV(O$3:O$6)</f>
      </c>
      <c r="P10" s="1">
        <f>STDEV(P$3:P$6)</f>
      </c>
      <c r="Q10" s="1">
        <f>STDEV(Q$3:Q$6)</f>
      </c>
      <c r="R10" s="1">
        <f>STDEV(R$3:R$6)</f>
      </c>
      <c r="S10" s="1">
        <f>STDEV(S$3:S$6)</f>
      </c>
    </row>
    <row x14ac:dyDescent="0.25" r="11" customHeight="1" ht="17.25">
      <c r="A11" s="2" t="s">
        <v>23</v>
      </c>
      <c r="B11" s="1">
        <f>SUMPRODUCT(--(B$3:B$6-$Q$3:$Q$6)^2)^0.5</f>
      </c>
      <c r="C11" s="1">
        <f>SUMPRODUCT(--(C$3:C$6-$Q$3:$Q$6)^2)^0.5</f>
      </c>
      <c r="D11" s="1">
        <f>SUMPRODUCT(--(D$3:D$6-$Q$3:$Q$6)^2)^0.5</f>
      </c>
      <c r="E11" s="1">
        <f>SUMPRODUCT(--(E$3:E$6-$Q$3:$Q$6)^2)^0.5</f>
      </c>
      <c r="F11" s="1">
        <f>SUMPRODUCT(--(F$3:F$6-$Q$3:$Q$6)^2)^0.5</f>
      </c>
      <c r="G11" s="1">
        <f>SUMPRODUCT(--(G$3:G$6-$Q$3:$Q$6)^2)^0.5</f>
      </c>
      <c r="H11" s="1">
        <f>SUMPRODUCT(--(H$3:H$6-$Q$3:$Q$6)^2)^0.5</f>
      </c>
      <c r="I11" s="1">
        <f>SUMPRODUCT(--(I$3:I$6-$Q$3:$Q$6)^2)^0.5</f>
      </c>
      <c r="J11" s="1">
        <f>SUMPRODUCT(--(J$3:J$6-$Q$3:$Q$6)^2)^0.5</f>
      </c>
      <c r="K11" s="1">
        <f>SUMPRODUCT(--(K$3:K$6-$Q$3:$Q$6)^2)^0.5</f>
      </c>
      <c r="L11" s="1">
        <f>SUMPRODUCT(--(L$3:L$6-$Q$3:$Q$6)^2)^0.5</f>
      </c>
      <c r="M11" s="1">
        <f>SUMPRODUCT(--(M$3:M$6-$Q$3:$Q$6)^2)^0.5</f>
      </c>
      <c r="N11" s="1">
        <f>SUMPRODUCT(--(N$3:N$6-$Q$3:$Q$6)^2)^0.5</f>
      </c>
      <c r="O11" s="1">
        <f>SUMPRODUCT(--(O$3:O$6-$Q$3:$Q$6)^2)^0.5</f>
      </c>
      <c r="P11" s="1">
        <f>SUMPRODUCT(--(P$3:P$6-$Q$3:$Q$6)^2)^0.5</f>
      </c>
      <c r="Q11" s="1"/>
      <c r="R11" s="1"/>
      <c r="S11" s="1"/>
    </row>
    <row x14ac:dyDescent="0.25" r="12" customHeight="1" ht="17.25">
      <c r="A12" s="2" t="s">
        <v>24</v>
      </c>
      <c r="B12" s="1">
        <f>SUMPRODUCT(NOT(ISBLANK(B$3:B$6))*(B$3:B$6=$Q$3:$Q$6))</f>
      </c>
      <c r="C12" s="1">
        <f>SUMPRODUCT(NOT(ISBLANK(C$3:C$6))*(C$3:C$6=$Q$3:$Q$6))</f>
      </c>
      <c r="D12" s="1">
        <f>SUMPRODUCT(NOT(ISBLANK(D$3:D$6))*(D$3:D$6=$Q$3:$Q$6))</f>
      </c>
      <c r="E12" s="1">
        <f>SUMPRODUCT(NOT(ISBLANK(E$3:E$6))*(E$3:E$6=$Q$3:$Q$6))</f>
      </c>
      <c r="F12" s="1">
        <f>SUMPRODUCT(NOT(ISBLANK(F$3:F$6))*(F$3:F$6=$Q$3:$Q$6))</f>
      </c>
      <c r="G12" s="1">
        <f>SUMPRODUCT(NOT(ISBLANK(G$3:G$6))*(G$3:G$6=$Q$3:$Q$6))</f>
      </c>
      <c r="H12" s="1">
        <f>SUMPRODUCT(NOT(ISBLANK(H$3:H$6))*(H$3:H$6=$Q$3:$Q$6))</f>
      </c>
      <c r="I12" s="1">
        <f>SUMPRODUCT(NOT(ISBLANK(I$3:I$6))*(I$3:I$6=$Q$3:$Q$6))</f>
      </c>
      <c r="J12" s="1">
        <f>SUMPRODUCT(NOT(ISBLANK(J$3:J$6))*(J$3:J$6=$Q$3:$Q$6))</f>
      </c>
      <c r="K12" s="1">
        <f>SUMPRODUCT(NOT(ISBLANK(K$3:K$6))*(K$3:K$6=$Q$3:$Q$6))</f>
      </c>
      <c r="L12" s="1">
        <f>SUMPRODUCT(NOT(ISBLANK(L$3:L$6))*(L$3:L$6=$Q$3:$Q$6))</f>
      </c>
      <c r="M12" s="1">
        <f>SUMPRODUCT(NOT(ISBLANK(M$3:M$6))*(M$3:M$6=$Q$3:$Q$6))</f>
      </c>
      <c r="N12" s="1">
        <f>SUMPRODUCT(NOT(ISBLANK(N$3:N$6))*(N$3:N$6=$Q$3:$Q$6))</f>
      </c>
      <c r="O12" s="1">
        <f>SUMPRODUCT(NOT(ISBLANK(O$3:O$6))*(O$3:O$6=$Q$3:$Q$6))</f>
      </c>
      <c r="P12" s="1">
        <f>SUMPRODUCT(NOT(ISBLANK(P$3:P$6))*(P$3:P$6=$Q$3:$Q$6))</f>
      </c>
      <c r="Q12" s="1"/>
      <c r="R12" s="1"/>
      <c r="S12" s="1"/>
    </row>
    <row x14ac:dyDescent="0.25" r="13" customHeight="1" ht="17.25">
      <c r="A13" s="2" t="s">
        <v>25</v>
      </c>
      <c r="B13" s="1">
        <f>SUMPRODUCT(NOT(ISBLANK(B$3:B$6))*(B$3:B$6&lt;$R$3:$R$6))</f>
      </c>
      <c r="C13" s="1">
        <f>SUMPRODUCT(NOT(ISBLANK(C$3:C$6))*(C$3:C$6&lt;$R$3:$R$6))</f>
      </c>
      <c r="D13" s="1">
        <f>SUMPRODUCT(NOT(ISBLANK(D$3:D$6))*(D$3:D$6&lt;$R$3:$R$6))</f>
      </c>
      <c r="E13" s="1">
        <f>SUMPRODUCT(NOT(ISBLANK(E$3:E$6))*(E$3:E$6&lt;$R$3:$R$6))</f>
      </c>
      <c r="F13" s="1">
        <f>SUMPRODUCT(NOT(ISBLANK(F$3:F$6))*(F$3:F$6&lt;$R$3:$R$6))</f>
      </c>
      <c r="G13" s="1">
        <f>SUMPRODUCT(NOT(ISBLANK(G$3:G$6))*(G$3:G$6&lt;$R$3:$R$6))</f>
      </c>
      <c r="H13" s="1">
        <f>SUMPRODUCT(NOT(ISBLANK(H$3:H$6))*(H$3:H$6&lt;$R$3:$R$6))</f>
      </c>
      <c r="I13" s="1">
        <f>SUMPRODUCT(NOT(ISBLANK(I$3:I$6))*(I$3:I$6&lt;$R$3:$R$6))</f>
      </c>
      <c r="J13" s="1">
        <f>SUMPRODUCT(NOT(ISBLANK(J$3:J$6))*(J$3:J$6&lt;$R$3:$R$6))</f>
      </c>
      <c r="K13" s="1">
        <f>SUMPRODUCT(NOT(ISBLANK(K$3:K$6))*(K$3:K$6&lt;$R$3:$R$6))</f>
      </c>
      <c r="L13" s="1">
        <f>SUMPRODUCT(NOT(ISBLANK(L$3:L$6))*(L$3:L$6&lt;$R$3:$R$6))</f>
      </c>
      <c r="M13" s="1">
        <f>SUMPRODUCT(NOT(ISBLANK(M$3:M$6))*(M$3:M$6&lt;$R$3:$R$6))</f>
      </c>
      <c r="N13" s="1">
        <f>SUMPRODUCT(NOT(ISBLANK(N$3:N$6))*(N$3:N$6&lt;$R$3:$R$6))</f>
      </c>
      <c r="O13" s="1">
        <f>SUMPRODUCT(NOT(ISBLANK(O$3:O$6))*(O$3:O$6&lt;$R$3:$R$6))</f>
      </c>
      <c r="P13" s="1">
        <f>SUMPRODUCT(NOT(ISBLANK(P$3:P$6))*(P$3:P$6&lt;$R$3:$R$6))</f>
      </c>
      <c r="Q13" s="1"/>
      <c r="R13" s="1"/>
      <c r="S13" s="1"/>
    </row>
    <row x14ac:dyDescent="0.25" r="14" customHeight="1" ht="17.25">
      <c r="A14" s="2" t="s">
        <v>26</v>
      </c>
      <c r="B14" s="1">
        <f>SUMPRODUCT((NOT(ISBLANK(B$3:B$6))*(B$3:B$6&gt;$R$3:$R$6))+ISBLANK(B$3:B$6))</f>
      </c>
      <c r="C14" s="1">
        <f>SUMPRODUCT((NOT(ISBLANK(C$3:C$6))*(C$3:C$6&gt;$R$3:$R$6))+ISBLANK(C$3:C$6))</f>
      </c>
      <c r="D14" s="1">
        <f>SUMPRODUCT((NOT(ISBLANK(D$3:D$6))*(D$3:D$6&gt;$R$3:$R$6))+ISBLANK(D$3:D$6))</f>
      </c>
      <c r="E14" s="1">
        <f>SUMPRODUCT((NOT(ISBLANK(E$3:E$6))*(E$3:E$6&gt;$R$3:$R$6))+ISBLANK(E$3:E$6))</f>
      </c>
      <c r="F14" s="1">
        <f>SUMPRODUCT((NOT(ISBLANK(F$3:F$6))*(F$3:F$6&gt;$R$3:$R$6))+ISBLANK(F$3:F$6))</f>
      </c>
      <c r="G14" s="1">
        <f>SUMPRODUCT((NOT(ISBLANK(G$3:G$6))*(G$3:G$6&gt;$R$3:$R$6))+ISBLANK(G$3:G$6))</f>
      </c>
      <c r="H14" s="1">
        <f>SUMPRODUCT((NOT(ISBLANK(H$3:H$6))*(H$3:H$6&gt;$R$3:$R$6))+ISBLANK(H$3:H$6))</f>
      </c>
      <c r="I14" s="1">
        <f>SUMPRODUCT((NOT(ISBLANK(I$3:I$6))*(I$3:I$6&gt;$R$3:$R$6))+ISBLANK(I$3:I$6))</f>
      </c>
      <c r="J14" s="1">
        <f>SUMPRODUCT((NOT(ISBLANK(J$3:J$6))*(J$3:J$6&gt;$R$3:$R$6))+ISBLANK(J$3:J$6))</f>
      </c>
      <c r="K14" s="1">
        <f>SUMPRODUCT((NOT(ISBLANK(K$3:K$6))*(K$3:K$6&gt;$R$3:$R$6))+ISBLANK(K$3:K$6))</f>
      </c>
      <c r="L14" s="1">
        <f>SUMPRODUCT((NOT(ISBLANK(L$3:L$6))*(L$3:L$6&gt;$R$3:$R$6))+ISBLANK(L$3:L$6))</f>
      </c>
      <c r="M14" s="1">
        <f>SUMPRODUCT((NOT(ISBLANK(M$3:M$6))*(M$3:M$6&gt;$R$3:$R$6))+ISBLANK(M$3:M$6))</f>
      </c>
      <c r="N14" s="1">
        <f>SUMPRODUCT((NOT(ISBLANK(N$3:N$6))*(N$3:N$6&gt;$R$3:$R$6))+ISBLANK(N$3:N$6))</f>
      </c>
      <c r="O14" s="1">
        <f>SUMPRODUCT((NOT(ISBLANK(O$3:O$6))*(O$3:O$6&gt;$R$3:$R$6))+ISBLANK(O$3:O$6))</f>
      </c>
      <c r="P14" s="1">
        <f>SUMPRODUCT((NOT(ISBLANK(P$3:P$6))*(P$3:P$6&gt;$R$3:$R$6))+ISBLANK(P$3:P$6))</f>
      </c>
      <c r="Q14" s="1"/>
      <c r="R14" s="1"/>
      <c r="S14" s="1"/>
    </row>
    <row x14ac:dyDescent="0.25" r="15" customHeight="1" ht="17.25">
      <c r="A15" s="2" t="s">
        <v>27</v>
      </c>
      <c r="B15" s="1">
        <f>SUMPRODUCT((NOT(ISBLANK(B$3:B$6))*(B$3:B$6=$S$3:$S$6))+ISBLANK(B$3:B$6))</f>
      </c>
      <c r="C15" s="1">
        <f>SUMPRODUCT((NOT(ISBLANK(C$3:C$6))*(C$3:C$6=$S$3:$S$6))+ISBLANK(C$3:C$6))</f>
      </c>
      <c r="D15" s="1">
        <f>SUMPRODUCT((NOT(ISBLANK(D$3:D$6))*(D$3:D$6=$S$3:$S$6))+ISBLANK(D$3:D$6))</f>
      </c>
      <c r="E15" s="1">
        <f>SUMPRODUCT((NOT(ISBLANK(E$3:E$6))*(E$3:E$6=$S$3:$S$6))+ISBLANK(E$3:E$6))</f>
      </c>
      <c r="F15" s="1">
        <f>SUMPRODUCT((NOT(ISBLANK(F$3:F$6))*(F$3:F$6=$S$3:$S$6))+ISBLANK(F$3:F$6))</f>
      </c>
      <c r="G15" s="1">
        <f>SUMPRODUCT((NOT(ISBLANK(G$3:G$6))*(G$3:G$6=$S$3:$S$6))+ISBLANK(G$3:G$6))</f>
      </c>
      <c r="H15" s="1">
        <f>SUMPRODUCT((NOT(ISBLANK(H$3:H$6))*(H$3:H$6=$S$3:$S$6))+ISBLANK(H$3:H$6))</f>
      </c>
      <c r="I15" s="1">
        <f>SUMPRODUCT((NOT(ISBLANK(I$3:I$6))*(I$3:I$6=$S$3:$S$6))+ISBLANK(I$3:I$6))</f>
      </c>
      <c r="J15" s="1">
        <f>SUMPRODUCT((NOT(ISBLANK(J$3:J$6))*(J$3:J$6=$S$3:$S$6))+ISBLANK(J$3:J$6))</f>
      </c>
      <c r="K15" s="1">
        <f>SUMPRODUCT((NOT(ISBLANK(K$3:K$6))*(K$3:K$6=$S$3:$S$6))+ISBLANK(K$3:K$6))</f>
      </c>
      <c r="L15" s="1">
        <f>SUMPRODUCT((NOT(ISBLANK(L$3:L$6))*(L$3:L$6=$S$3:$S$6))+ISBLANK(L$3:L$6))</f>
      </c>
      <c r="M15" s="1">
        <f>SUMPRODUCT((NOT(ISBLANK(M$3:M$6))*(M$3:M$6=$S$3:$S$6))+ISBLANK(M$3:M$6))</f>
      </c>
      <c r="N15" s="1">
        <f>SUMPRODUCT((NOT(ISBLANK(N$3:N$6))*(N$3:N$6=$S$3:$S$6))+ISBLANK(N$3:N$6))</f>
      </c>
      <c r="O15" s="1">
        <f>SUMPRODUCT((NOT(ISBLANK(O$3:O$6))*(O$3:O$6=$S$3:$S$6))+ISBLANK(O$3:O$6))</f>
      </c>
      <c r="P15" s="1">
        <f>SUMPRODUCT((NOT(ISBLANK(P$3:P$6))*(P$3:P$6=$S$3:$S$6))+ISBLANK(P$3:P$6))</f>
      </c>
      <c r="Q15" s="1"/>
      <c r="R15" s="1"/>
      <c r="S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15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7" width="18.290714285714284" customWidth="1" bestFit="1"/>
    <col min="2" max="2" style="4" width="40.57642857142857" customWidth="1" bestFit="1"/>
    <col min="3" max="3" style="4" width="42.29071428571429" customWidth="1" bestFit="1"/>
    <col min="4" max="4" style="4" width="40.57642857142857" customWidth="1" bestFit="1"/>
    <col min="5" max="5" style="4" width="42.29071428571429" customWidth="1" bestFit="1"/>
    <col min="6" max="6" style="4" width="40.57642857142857" customWidth="1" bestFit="1"/>
    <col min="7" max="7" style="4" width="42.29071428571429" customWidth="1" bestFit="1"/>
    <col min="8" max="8" style="4" width="40.005" customWidth="1" bestFit="1"/>
    <col min="9" max="9" style="4" width="40.86214285714286" customWidth="1" bestFit="1"/>
    <col min="10" max="10" style="4" width="42.57642857142857" customWidth="1" bestFit="1"/>
    <col min="11" max="11" style="4" width="40.005" customWidth="1" bestFit="1"/>
    <col min="12" max="12" style="4" width="40.86214285714286" customWidth="1" bestFit="1"/>
    <col min="13" max="13" style="4" width="42.57642857142857" customWidth="1" bestFit="1"/>
    <col min="14" max="14" style="4" width="40.005" customWidth="1" bestFit="1"/>
    <col min="15" max="15" style="4" width="40.86214285714286" customWidth="1" bestFit="1"/>
    <col min="16" max="16" style="4" width="42.57642857142857" customWidth="1" bestFit="1"/>
    <col min="17" max="17" style="3" width="11.43357142857143" customWidth="1" bestFit="1"/>
    <col min="18" max="18" style="3" width="11.43357142857143" customWidth="1" bestFit="1"/>
    <col min="19" max="19" style="3" width="11.43357142857143" customWidth="1" bestFit="1"/>
  </cols>
  <sheetData>
    <row x14ac:dyDescent="0.25" r="1" customHeight="1" ht="17.25">
      <c r="A1" s="5" t="s">
        <v>28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</row>
    <row x14ac:dyDescent="0.25" r="2" customHeight="1" ht="17.25">
      <c r="A2" s="6" t="s">
        <v>16</v>
      </c>
      <c r="B2" s="2" t="s">
        <v>18</v>
      </c>
      <c r="C2" s="2" t="s">
        <v>18</v>
      </c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  <c r="Q2" s="2" t="s">
        <v>18</v>
      </c>
      <c r="R2" s="2" t="s">
        <v>18</v>
      </c>
      <c r="S2" s="2" t="s">
        <v>18</v>
      </c>
    </row>
    <row x14ac:dyDescent="0.25" r="3" customHeight="1" ht="17.25">
      <c r="A3" s="5" t="s">
        <v>29</v>
      </c>
      <c r="B3" s="1"/>
      <c r="C3" s="1"/>
      <c r="D3" s="1"/>
      <c r="E3" s="1"/>
      <c r="F3" s="1"/>
      <c r="G3" s="1"/>
      <c r="H3" s="1">
        <f>_xlfn.SWITCH($A$2,"average", AVERAGE(Instances!H3:Instances!H3),"median", MEDIAN(Instances!H3:Instances!H3),"min", MIN(Instances!H3:Instances!H3),"max", MAX(Instances!H3:Instances!H3),"diff", MAX(Instances!H3:Instances!H3)-MIN(Instances!H3:Instances!H3))</f>
      </c>
      <c r="I3" s="1">
        <f>_xlfn.SWITCH($A$2,"average", AVERAGE(Instances!I3:Instances!I3),"median", MEDIAN(Instances!I3:Instances!I3),"min", MIN(Instances!I3:Instances!I3),"max", MAX(Instances!I3:Instances!I3),"diff", MAX(Instances!I3:Instances!I3)-MIN(Instances!I3:Instances!I3))</f>
      </c>
      <c r="J3" s="1">
        <f>_xlfn.SWITCH($A$2,"average", AVERAGE(Instances!J3:Instances!J3),"median", MEDIAN(Instances!J3:Instances!J3),"min", MIN(Instances!J3:Instances!J3),"max", MAX(Instances!J3:Instances!J3),"diff", MAX(Instances!J3:Instances!J3)-MIN(Instances!J3:Instances!J3))</f>
      </c>
      <c r="K3" s="1">
        <f>_xlfn.SWITCH($A$2,"average", AVERAGE(Instances!K3:Instances!K3),"median", MEDIAN(Instances!K3:Instances!K3),"min", MIN(Instances!K3:Instances!K3),"max", MAX(Instances!K3:Instances!K3),"diff", MAX(Instances!K3:Instances!K3)-MIN(Instances!K3:Instances!K3))</f>
      </c>
      <c r="L3" s="1">
        <f>_xlfn.SWITCH($A$2,"average", AVERAGE(Instances!L3:Instances!L3),"median", MEDIAN(Instances!L3:Instances!L3),"min", MIN(Instances!L3:Instances!L3),"max", MAX(Instances!L3:Instances!L3),"diff", MAX(Instances!L3:Instances!L3)-MIN(Instances!L3:Instances!L3))</f>
      </c>
      <c r="M3" s="1">
        <f>_xlfn.SWITCH($A$2,"average", AVERAGE(Instances!M3:Instances!M3),"median", MEDIAN(Instances!M3:Instances!M3),"min", MIN(Instances!M3:Instances!M3),"max", MAX(Instances!M3:Instances!M3),"diff", MAX(Instances!M3:Instances!M3)-MIN(Instances!M3:Instances!M3))</f>
      </c>
      <c r="N3" s="1">
        <f>_xlfn.SWITCH($A$2,"average", AVERAGE(Instances!N3:Instances!N3),"median", MEDIAN(Instances!N3:Instances!N3),"min", MIN(Instances!N3:Instances!N3),"max", MAX(Instances!N3:Instances!N3),"diff", MAX(Instances!N3:Instances!N3)-MIN(Instances!N3:Instances!N3))</f>
      </c>
      <c r="O3" s="1">
        <f>_xlfn.SWITCH($A$2,"average", AVERAGE(Instances!O3:Instances!O3),"median", MEDIAN(Instances!O3:Instances!O3),"min", MIN(Instances!O3:Instances!O3),"max", MAX(Instances!O3:Instances!O3),"diff", MAX(Instances!O3:Instances!O3)-MIN(Instances!O3:Instances!O3))</f>
      </c>
      <c r="P3" s="1">
        <f>_xlfn.SWITCH($A$2,"average", AVERAGE(Instances!P3:Instances!P3),"median", MEDIAN(Instances!P3:Instances!P3),"min", MIN(Instances!P3:Instances!P3),"max", MAX(Instances!P3:Instances!P3),"diff", MAX(Instances!P3:Instances!P3)-MIN(Instances!P3:Instances!P3))</f>
      </c>
      <c r="Q3" s="1">
        <f>MIN($B3,$C3,$D3,$E3,$F3,$G3,$H3,$I3,$J3,$K3,$L3,$M3,$N3,$O3,$P3)</f>
      </c>
      <c r="R3" s="1">
        <f>MEDIAN($B3,$C3,$D3,$E3,$F3,$G3,$H3,$I3,$J3,$K3,$L3,$M3,$N3,$O3,$P3)</f>
      </c>
      <c r="S3" s="1">
        <f>MAX($B3,$C3,$D3,$E3,$F3,$G3,$H3,$I3,$J3,$K3,$L3,$M3,$N3,$O3,$P3)</f>
      </c>
    </row>
    <row x14ac:dyDescent="0.25" r="4" customHeight="1" ht="17.25">
      <c r="A4" s="5" t="s">
        <v>30</v>
      </c>
      <c r="B4" s="1">
        <f>_xlfn.SWITCH($A$2,"average", AVERAGE(Instances!B4:Instances!B4),"median", MEDIAN(Instances!B4:Instances!B4),"min", MIN(Instances!B4:Instances!B4),"max", MAX(Instances!B4:Instances!B4),"diff", MAX(Instances!B4:Instances!B4)-MIN(Instances!B4:Instances!B4))</f>
      </c>
      <c r="C4" s="1">
        <f>_xlfn.SWITCH($A$2,"average", AVERAGE(Instances!C4:Instances!C4),"median", MEDIAN(Instances!C4:Instances!C4),"min", MIN(Instances!C4:Instances!C4),"max", MAX(Instances!C4:Instances!C4),"diff", MAX(Instances!C4:Instances!C4)-MIN(Instances!C4:Instances!C4))</f>
      </c>
      <c r="D4" s="1">
        <f>_xlfn.SWITCH($A$2,"average", AVERAGE(Instances!D4:Instances!D4),"median", MEDIAN(Instances!D4:Instances!D4),"min", MIN(Instances!D4:Instances!D4),"max", MAX(Instances!D4:Instances!D4),"diff", MAX(Instances!D4:Instances!D4)-MIN(Instances!D4:Instances!D4))</f>
      </c>
      <c r="E4" s="1">
        <f>_xlfn.SWITCH($A$2,"average", AVERAGE(Instances!E4:Instances!E4),"median", MEDIAN(Instances!E4:Instances!E4),"min", MIN(Instances!E4:Instances!E4),"max", MAX(Instances!E4:Instances!E4),"diff", MAX(Instances!E4:Instances!E4)-MIN(Instances!E4:Instances!E4))</f>
      </c>
      <c r="F4" s="1">
        <f>_xlfn.SWITCH($A$2,"average", AVERAGE(Instances!F4:Instances!F4),"median", MEDIAN(Instances!F4:Instances!F4),"min", MIN(Instances!F4:Instances!F4),"max", MAX(Instances!F4:Instances!F4),"diff", MAX(Instances!F4:Instances!F4)-MIN(Instances!F4:Instances!F4))</f>
      </c>
      <c r="G4" s="1">
        <f>_xlfn.SWITCH($A$2,"average", AVERAGE(Instances!G4:Instances!G4),"median", MEDIAN(Instances!G4:Instances!G4),"min", MIN(Instances!G4:Instances!G4),"max", MAX(Instances!G4:Instances!G4),"diff", MAX(Instances!G4:Instances!G4)-MIN(Instances!G4:Instances!G4))</f>
      </c>
      <c r="H4" s="1"/>
      <c r="I4" s="1"/>
      <c r="J4" s="1"/>
      <c r="K4" s="1"/>
      <c r="L4" s="1"/>
      <c r="M4" s="1"/>
      <c r="N4" s="1"/>
      <c r="O4" s="1"/>
      <c r="P4" s="1"/>
      <c r="Q4" s="1">
        <f>MIN($B4,$C4,$D4,$E4,$F4,$G4,$H4,$I4,$J4,$K4,$L4,$M4,$N4,$O4,$P4)</f>
      </c>
      <c r="R4" s="1">
        <f>MEDIAN($B4,$C4,$D4,$E4,$F4,$G4,$H4,$I4,$J4,$K4,$L4,$M4,$N4,$O4,$P4)</f>
      </c>
      <c r="S4" s="1">
        <f>MAX($B4,$C4,$D4,$E4,$F4,$G4,$H4,$I4,$J4,$K4,$L4,$M4,$N4,$O4,$P4)</f>
      </c>
    </row>
    <row x14ac:dyDescent="0.25" r="5" customHeight="1" ht="17.25">
      <c r="A5" s="5" t="s">
        <v>31</v>
      </c>
      <c r="B5" s="1">
        <f>_xlfn.SWITCH($A$2,"average", AVERAGE(Instances!B5:Instances!B5),"median", MEDIAN(Instances!B5:Instances!B5),"min", MIN(Instances!B5:Instances!B5),"max", MAX(Instances!B5:Instances!B5),"diff", MAX(Instances!B5:Instances!B5)-MIN(Instances!B5:Instances!B5))</f>
      </c>
      <c r="C5" s="1">
        <f>_xlfn.SWITCH($A$2,"average", AVERAGE(Instances!C5:Instances!C5),"median", MEDIAN(Instances!C5:Instances!C5),"min", MIN(Instances!C5:Instances!C5),"max", MAX(Instances!C5:Instances!C5),"diff", MAX(Instances!C5:Instances!C5)-MIN(Instances!C5:Instances!C5))</f>
      </c>
      <c r="D5" s="1">
        <f>_xlfn.SWITCH($A$2,"average", AVERAGE(Instances!D5:Instances!D5),"median", MEDIAN(Instances!D5:Instances!D5),"min", MIN(Instances!D5:Instances!D5),"max", MAX(Instances!D5:Instances!D5),"diff", MAX(Instances!D5:Instances!D5)-MIN(Instances!D5:Instances!D5))</f>
      </c>
      <c r="E5" s="1">
        <f>_xlfn.SWITCH($A$2,"average", AVERAGE(Instances!E5:Instances!E5),"median", MEDIAN(Instances!E5:Instances!E5),"min", MIN(Instances!E5:Instances!E5),"max", MAX(Instances!E5:Instances!E5),"diff", MAX(Instances!E5:Instances!E5)-MIN(Instances!E5:Instances!E5))</f>
      </c>
      <c r="F5" s="1">
        <f>_xlfn.SWITCH($A$2,"average", AVERAGE(Instances!F5:Instances!F5),"median", MEDIAN(Instances!F5:Instances!F5),"min", MIN(Instances!F5:Instances!F5),"max", MAX(Instances!F5:Instances!F5),"diff", MAX(Instances!F5:Instances!F5)-MIN(Instances!F5:Instances!F5))</f>
      </c>
      <c r="G5" s="1">
        <f>_xlfn.SWITCH($A$2,"average", AVERAGE(Instances!G5:Instances!G5),"median", MEDIAN(Instances!G5:Instances!G5),"min", MIN(Instances!G5:Instances!G5),"max", MAX(Instances!G5:Instances!G5),"diff", MAX(Instances!G5:Instances!G5)-MIN(Instances!G5:Instances!G5))</f>
      </c>
      <c r="H5" s="1"/>
      <c r="I5" s="1"/>
      <c r="J5" s="1"/>
      <c r="K5" s="1"/>
      <c r="L5" s="1"/>
      <c r="M5" s="1"/>
      <c r="N5" s="1"/>
      <c r="O5" s="1"/>
      <c r="P5" s="1"/>
      <c r="Q5" s="1">
        <f>MIN($B5,$C5,$D5,$E5,$F5,$G5,$H5,$I5,$J5,$K5,$L5,$M5,$N5,$O5,$P5)</f>
      </c>
      <c r="R5" s="1">
        <f>MEDIAN($B5,$C5,$D5,$E5,$F5,$G5,$H5,$I5,$J5,$K5,$L5,$M5,$N5,$O5,$P5)</f>
      </c>
      <c r="S5" s="1">
        <f>MAX($B5,$C5,$D5,$E5,$F5,$G5,$H5,$I5,$J5,$K5,$L5,$M5,$N5,$O5,$P5)</f>
      </c>
    </row>
    <row x14ac:dyDescent="0.25" r="6" customHeight="1" ht="17.25">
      <c r="A6" s="5" t="s">
        <v>31</v>
      </c>
      <c r="B6" s="1">
        <f>_xlfn.SWITCH($A$2,"average", AVERAGE(Instances!B6:Instances!B6),"median", MEDIAN(Instances!B6:Instances!B6),"min", MIN(Instances!B6:Instances!B6),"max", MAX(Instances!B6:Instances!B6),"diff", MAX(Instances!B6:Instances!B6)-MIN(Instances!B6:Instances!B6))</f>
      </c>
      <c r="C6" s="1">
        <f>_xlfn.SWITCH($A$2,"average", AVERAGE(Instances!C6:Instances!C6),"median", MEDIAN(Instances!C6:Instances!C6),"min", MIN(Instances!C6:Instances!C6),"max", MAX(Instances!C6:Instances!C6),"diff", MAX(Instances!C6:Instances!C6)-MIN(Instances!C6:Instances!C6))</f>
      </c>
      <c r="D6" s="1">
        <f>_xlfn.SWITCH($A$2,"average", AVERAGE(Instances!D6:Instances!D6),"median", MEDIAN(Instances!D6:Instances!D6),"min", MIN(Instances!D6:Instances!D6),"max", MAX(Instances!D6:Instances!D6),"diff", MAX(Instances!D6:Instances!D6)-MIN(Instances!D6:Instances!D6))</f>
      </c>
      <c r="E6" s="1">
        <f>_xlfn.SWITCH($A$2,"average", AVERAGE(Instances!E6:Instances!E6),"median", MEDIAN(Instances!E6:Instances!E6),"min", MIN(Instances!E6:Instances!E6),"max", MAX(Instances!E6:Instances!E6),"diff", MAX(Instances!E6:Instances!E6)-MIN(Instances!E6:Instances!E6))</f>
      </c>
      <c r="F6" s="1">
        <f>_xlfn.SWITCH($A$2,"average", AVERAGE(Instances!F6:Instances!F6),"median", MEDIAN(Instances!F6:Instances!F6),"min", MIN(Instances!F6:Instances!F6),"max", MAX(Instances!F6:Instances!F6),"diff", MAX(Instances!F6:Instances!F6)-MIN(Instances!F6:Instances!F6))</f>
      </c>
      <c r="G6" s="1">
        <f>_xlfn.SWITCH($A$2,"average", AVERAGE(Instances!G6:Instances!G6),"median", MEDIAN(Instances!G6:Instances!G6),"min", MIN(Instances!G6:Instances!G6),"max", MAX(Instances!G6:Instances!G6),"diff", MAX(Instances!G6:Instances!G6)-MIN(Instances!G6:Instances!G6))</f>
      </c>
      <c r="H6" s="1"/>
      <c r="I6" s="1"/>
      <c r="J6" s="1"/>
      <c r="K6" s="1"/>
      <c r="L6" s="1"/>
      <c r="M6" s="1"/>
      <c r="N6" s="1"/>
      <c r="O6" s="1"/>
      <c r="P6" s="1"/>
      <c r="Q6" s="1">
        <f>MIN($B6,$C6,$D6,$E6,$F6,$G6,$H6,$I6,$J6,$K6,$L6,$M6,$N6,$O6,$P6)</f>
      </c>
      <c r="R6" s="1">
        <f>MEDIAN($B6,$C6,$D6,$E6,$F6,$G6,$H6,$I6,$J6,$K6,$L6,$M6,$N6,$O6,$P6)</f>
      </c>
      <c r="S6" s="1">
        <f>MAX($B6,$C6,$D6,$E6,$F6,$G6,$H6,$I6,$J6,$K6,$L6,$M6,$N6,$O6,$P6)</f>
      </c>
    </row>
    <row x14ac:dyDescent="0.25" r="7" customHeight="1" ht="17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x14ac:dyDescent="0.25" r="8" customHeight="1" ht="17.25">
      <c r="A8" s="5" t="s">
        <v>20</v>
      </c>
      <c r="B8" s="1">
        <f>SUM(B$3:B$6)</f>
      </c>
      <c r="C8" s="1">
        <f>SUM(C$3:C$6)</f>
      </c>
      <c r="D8" s="1">
        <f>SUM(D$3:D$6)</f>
      </c>
      <c r="E8" s="1">
        <f>SUM(E$3:E$6)</f>
      </c>
      <c r="F8" s="1">
        <f>SUM(F$3:F$6)</f>
      </c>
      <c r="G8" s="1">
        <f>SUM(G$3:G$6)</f>
      </c>
      <c r="H8" s="1">
        <f>SUM(H$3:H$6)</f>
      </c>
      <c r="I8" s="1">
        <f>SUM(I$3:I$6)</f>
      </c>
      <c r="J8" s="1">
        <f>SUM(J$3:J$6)</f>
      </c>
      <c r="K8" s="1">
        <f>SUM(K$3:K$6)</f>
      </c>
      <c r="L8" s="1">
        <f>SUM(L$3:L$6)</f>
      </c>
      <c r="M8" s="1">
        <f>SUM(M$3:M$6)</f>
      </c>
      <c r="N8" s="1">
        <f>SUM(N$3:N$6)</f>
      </c>
      <c r="O8" s="1">
        <f>SUM(O$3:O$6)</f>
      </c>
      <c r="P8" s="1">
        <f>SUM(P$3:P$6)</f>
      </c>
      <c r="Q8" s="1">
        <f>SUM(Q$3:Q$6)</f>
      </c>
      <c r="R8" s="1">
        <f>SUM(R$3:R$6)</f>
      </c>
      <c r="S8" s="1">
        <f>SUM(S$3:S$6)</f>
      </c>
    </row>
    <row x14ac:dyDescent="0.25" r="9" customHeight="1" ht="17.25">
      <c r="A9" s="5" t="s">
        <v>21</v>
      </c>
      <c r="B9" s="1">
        <f>AVERAGE(B$3:B$6)</f>
      </c>
      <c r="C9" s="1">
        <f>AVERAGE(C$3:C$6)</f>
      </c>
      <c r="D9" s="1">
        <f>AVERAGE(D$3:D$6)</f>
      </c>
      <c r="E9" s="1">
        <f>AVERAGE(E$3:E$6)</f>
      </c>
      <c r="F9" s="1">
        <f>AVERAGE(F$3:F$6)</f>
      </c>
      <c r="G9" s="1">
        <f>AVERAGE(G$3:G$6)</f>
      </c>
      <c r="H9" s="1">
        <f>AVERAGE(H$3:H$6)</f>
      </c>
      <c r="I9" s="1">
        <f>AVERAGE(I$3:I$6)</f>
      </c>
      <c r="J9" s="1">
        <f>AVERAGE(J$3:J$6)</f>
      </c>
      <c r="K9" s="1">
        <f>AVERAGE(K$3:K$6)</f>
      </c>
      <c r="L9" s="1">
        <f>AVERAGE(L$3:L$6)</f>
      </c>
      <c r="M9" s="1">
        <f>AVERAGE(M$3:M$6)</f>
      </c>
      <c r="N9" s="1">
        <f>AVERAGE(N$3:N$6)</f>
      </c>
      <c r="O9" s="1">
        <f>AVERAGE(O$3:O$6)</f>
      </c>
      <c r="P9" s="1">
        <f>AVERAGE(P$3:P$6)</f>
      </c>
      <c r="Q9" s="1">
        <f>AVERAGE(Q$3:Q$6)</f>
      </c>
      <c r="R9" s="1">
        <f>AVERAGE(R$3:R$6)</f>
      </c>
      <c r="S9" s="1">
        <f>AVERAGE(S$3:S$6)</f>
      </c>
    </row>
    <row x14ac:dyDescent="0.25" r="10" customHeight="1" ht="17.25">
      <c r="A10" s="5" t="s">
        <v>22</v>
      </c>
      <c r="B10" s="1">
        <f>STDEV(B$3:B$6)</f>
      </c>
      <c r="C10" s="1">
        <f>STDEV(C$3:C$6)</f>
      </c>
      <c r="D10" s="1">
        <f>STDEV(D$3:D$6)</f>
      </c>
      <c r="E10" s="1">
        <f>STDEV(E$3:E$6)</f>
      </c>
      <c r="F10" s="1">
        <f>STDEV(F$3:F$6)</f>
      </c>
      <c r="G10" s="1">
        <f>STDEV(G$3:G$6)</f>
      </c>
      <c r="H10" s="1">
        <f>STDEV(H$3:H$6)</f>
      </c>
      <c r="I10" s="1">
        <f>STDEV(I$3:I$6)</f>
      </c>
      <c r="J10" s="1">
        <f>STDEV(J$3:J$6)</f>
      </c>
      <c r="K10" s="1">
        <f>STDEV(K$3:K$6)</f>
      </c>
      <c r="L10" s="1">
        <f>STDEV(L$3:L$6)</f>
      </c>
      <c r="M10" s="1">
        <f>STDEV(M$3:M$6)</f>
      </c>
      <c r="N10" s="1">
        <f>STDEV(N$3:N$6)</f>
      </c>
      <c r="O10" s="1">
        <f>STDEV(O$3:O$6)</f>
      </c>
      <c r="P10" s="1">
        <f>STDEV(P$3:P$6)</f>
      </c>
      <c r="Q10" s="1">
        <f>STDEV(Q$3:Q$6)</f>
      </c>
      <c r="R10" s="1">
        <f>STDEV(R$3:R$6)</f>
      </c>
      <c r="S10" s="1">
        <f>STDEV(S$3:S$6)</f>
      </c>
    </row>
    <row x14ac:dyDescent="0.25" r="11" customHeight="1" ht="17.25">
      <c r="A11" s="5" t="s">
        <v>23</v>
      </c>
      <c r="B11" s="1">
        <f>SUMPRODUCT(--(B$3:B$6-$Q$3:$Q$6)^2)^0.5</f>
      </c>
      <c r="C11" s="1">
        <f>SUMPRODUCT(--(C$3:C$6-$Q$3:$Q$6)^2)^0.5</f>
      </c>
      <c r="D11" s="1">
        <f>SUMPRODUCT(--(D$3:D$6-$Q$3:$Q$6)^2)^0.5</f>
      </c>
      <c r="E11" s="1">
        <f>SUMPRODUCT(--(E$3:E$6-$Q$3:$Q$6)^2)^0.5</f>
      </c>
      <c r="F11" s="1">
        <f>SUMPRODUCT(--(F$3:F$6-$Q$3:$Q$6)^2)^0.5</f>
      </c>
      <c r="G11" s="1">
        <f>SUMPRODUCT(--(G$3:G$6-$Q$3:$Q$6)^2)^0.5</f>
      </c>
      <c r="H11" s="1">
        <f>SUMPRODUCT(--(H$3:H$6-$Q$3:$Q$6)^2)^0.5</f>
      </c>
      <c r="I11" s="1">
        <f>SUMPRODUCT(--(I$3:I$6-$Q$3:$Q$6)^2)^0.5</f>
      </c>
      <c r="J11" s="1">
        <f>SUMPRODUCT(--(J$3:J$6-$Q$3:$Q$6)^2)^0.5</f>
      </c>
      <c r="K11" s="1">
        <f>SUMPRODUCT(--(K$3:K$6-$Q$3:$Q$6)^2)^0.5</f>
      </c>
      <c r="L11" s="1">
        <f>SUMPRODUCT(--(L$3:L$6-$Q$3:$Q$6)^2)^0.5</f>
      </c>
      <c r="M11" s="1">
        <f>SUMPRODUCT(--(M$3:M$6-$Q$3:$Q$6)^2)^0.5</f>
      </c>
      <c r="N11" s="1">
        <f>SUMPRODUCT(--(N$3:N$6-$Q$3:$Q$6)^2)^0.5</f>
      </c>
      <c r="O11" s="1">
        <f>SUMPRODUCT(--(O$3:O$6-$Q$3:$Q$6)^2)^0.5</f>
      </c>
      <c r="P11" s="1">
        <f>SUMPRODUCT(--(P$3:P$6-$Q$3:$Q$6)^2)^0.5</f>
      </c>
      <c r="Q11" s="1"/>
      <c r="R11" s="1"/>
      <c r="S11" s="1"/>
    </row>
    <row x14ac:dyDescent="0.25" r="12" customHeight="1" ht="17.25">
      <c r="A12" s="5" t="s">
        <v>24</v>
      </c>
      <c r="B12" s="1">
        <f>SUMPRODUCT(NOT(ISBLANK(B$3:B$6))*(B$3:B$6=$Q$3:$Q$6))</f>
      </c>
      <c r="C12" s="1">
        <f>SUMPRODUCT(NOT(ISBLANK(C$3:C$6))*(C$3:C$6=$Q$3:$Q$6))</f>
      </c>
      <c r="D12" s="1">
        <f>SUMPRODUCT(NOT(ISBLANK(D$3:D$6))*(D$3:D$6=$Q$3:$Q$6))</f>
      </c>
      <c r="E12" s="1">
        <f>SUMPRODUCT(NOT(ISBLANK(E$3:E$6))*(E$3:E$6=$Q$3:$Q$6))</f>
      </c>
      <c r="F12" s="1">
        <f>SUMPRODUCT(NOT(ISBLANK(F$3:F$6))*(F$3:F$6=$Q$3:$Q$6))</f>
      </c>
      <c r="G12" s="1">
        <f>SUMPRODUCT(NOT(ISBLANK(G$3:G$6))*(G$3:G$6=$Q$3:$Q$6))</f>
      </c>
      <c r="H12" s="1">
        <f>SUMPRODUCT(NOT(ISBLANK(H$3:H$6))*(H$3:H$6=$Q$3:$Q$6))</f>
      </c>
      <c r="I12" s="1">
        <f>SUMPRODUCT(NOT(ISBLANK(I$3:I$6))*(I$3:I$6=$Q$3:$Q$6))</f>
      </c>
      <c r="J12" s="1">
        <f>SUMPRODUCT(NOT(ISBLANK(J$3:J$6))*(J$3:J$6=$Q$3:$Q$6))</f>
      </c>
      <c r="K12" s="1">
        <f>SUMPRODUCT(NOT(ISBLANK(K$3:K$6))*(K$3:K$6=$Q$3:$Q$6))</f>
      </c>
      <c r="L12" s="1">
        <f>SUMPRODUCT(NOT(ISBLANK(L$3:L$6))*(L$3:L$6=$Q$3:$Q$6))</f>
      </c>
      <c r="M12" s="1">
        <f>SUMPRODUCT(NOT(ISBLANK(M$3:M$6))*(M$3:M$6=$Q$3:$Q$6))</f>
      </c>
      <c r="N12" s="1">
        <f>SUMPRODUCT(NOT(ISBLANK(N$3:N$6))*(N$3:N$6=$Q$3:$Q$6))</f>
      </c>
      <c r="O12" s="1">
        <f>SUMPRODUCT(NOT(ISBLANK(O$3:O$6))*(O$3:O$6=$Q$3:$Q$6))</f>
      </c>
      <c r="P12" s="1">
        <f>SUMPRODUCT(NOT(ISBLANK(P$3:P$6))*(P$3:P$6=$Q$3:$Q$6))</f>
      </c>
      <c r="Q12" s="1"/>
      <c r="R12" s="1"/>
      <c r="S12" s="1"/>
    </row>
    <row x14ac:dyDescent="0.25" r="13" customHeight="1" ht="17.25">
      <c r="A13" s="5" t="s">
        <v>25</v>
      </c>
      <c r="B13" s="1">
        <f>SUMPRODUCT(NOT(ISBLANK(B$3:B$6))*(B$3:B$6&lt;$R$3:$R$6))</f>
      </c>
      <c r="C13" s="1">
        <f>SUMPRODUCT(NOT(ISBLANK(C$3:C$6))*(C$3:C$6&lt;$R$3:$R$6))</f>
      </c>
      <c r="D13" s="1">
        <f>SUMPRODUCT(NOT(ISBLANK(D$3:D$6))*(D$3:D$6&lt;$R$3:$R$6))</f>
      </c>
      <c r="E13" s="1">
        <f>SUMPRODUCT(NOT(ISBLANK(E$3:E$6))*(E$3:E$6&lt;$R$3:$R$6))</f>
      </c>
      <c r="F13" s="1">
        <f>SUMPRODUCT(NOT(ISBLANK(F$3:F$6))*(F$3:F$6&lt;$R$3:$R$6))</f>
      </c>
      <c r="G13" s="1">
        <f>SUMPRODUCT(NOT(ISBLANK(G$3:G$6))*(G$3:G$6&lt;$R$3:$R$6))</f>
      </c>
      <c r="H13" s="1">
        <f>SUMPRODUCT(NOT(ISBLANK(H$3:H$6))*(H$3:H$6&lt;$R$3:$R$6))</f>
      </c>
      <c r="I13" s="1">
        <f>SUMPRODUCT(NOT(ISBLANK(I$3:I$6))*(I$3:I$6&lt;$R$3:$R$6))</f>
      </c>
      <c r="J13" s="1">
        <f>SUMPRODUCT(NOT(ISBLANK(J$3:J$6))*(J$3:J$6&lt;$R$3:$R$6))</f>
      </c>
      <c r="K13" s="1">
        <f>SUMPRODUCT(NOT(ISBLANK(K$3:K$6))*(K$3:K$6&lt;$R$3:$R$6))</f>
      </c>
      <c r="L13" s="1">
        <f>SUMPRODUCT(NOT(ISBLANK(L$3:L$6))*(L$3:L$6&lt;$R$3:$R$6))</f>
      </c>
      <c r="M13" s="1">
        <f>SUMPRODUCT(NOT(ISBLANK(M$3:M$6))*(M$3:M$6&lt;$R$3:$R$6))</f>
      </c>
      <c r="N13" s="1">
        <f>SUMPRODUCT(NOT(ISBLANK(N$3:N$6))*(N$3:N$6&lt;$R$3:$R$6))</f>
      </c>
      <c r="O13" s="1">
        <f>SUMPRODUCT(NOT(ISBLANK(O$3:O$6))*(O$3:O$6&lt;$R$3:$R$6))</f>
      </c>
      <c r="P13" s="1">
        <f>SUMPRODUCT(NOT(ISBLANK(P$3:P$6))*(P$3:P$6&lt;$R$3:$R$6))</f>
      </c>
      <c r="Q13" s="1"/>
      <c r="R13" s="1"/>
      <c r="S13" s="1"/>
    </row>
    <row x14ac:dyDescent="0.25" r="14" customHeight="1" ht="17.25">
      <c r="A14" s="5" t="s">
        <v>26</v>
      </c>
      <c r="B14" s="1">
        <f>SUMPRODUCT((NOT(ISBLANK(B$3:B$6))*(B$3:B$6&gt;$R$3:$R$6))+ISBLANK(B$3:B$6))</f>
      </c>
      <c r="C14" s="1">
        <f>SUMPRODUCT((NOT(ISBLANK(C$3:C$6))*(C$3:C$6&gt;$R$3:$R$6))+ISBLANK(C$3:C$6))</f>
      </c>
      <c r="D14" s="1">
        <f>SUMPRODUCT((NOT(ISBLANK(D$3:D$6))*(D$3:D$6&gt;$R$3:$R$6))+ISBLANK(D$3:D$6))</f>
      </c>
      <c r="E14" s="1">
        <f>SUMPRODUCT((NOT(ISBLANK(E$3:E$6))*(E$3:E$6&gt;$R$3:$R$6))+ISBLANK(E$3:E$6))</f>
      </c>
      <c r="F14" s="1">
        <f>SUMPRODUCT((NOT(ISBLANK(F$3:F$6))*(F$3:F$6&gt;$R$3:$R$6))+ISBLANK(F$3:F$6))</f>
      </c>
      <c r="G14" s="1">
        <f>SUMPRODUCT((NOT(ISBLANK(G$3:G$6))*(G$3:G$6&gt;$R$3:$R$6))+ISBLANK(G$3:G$6))</f>
      </c>
      <c r="H14" s="1">
        <f>SUMPRODUCT((NOT(ISBLANK(H$3:H$6))*(H$3:H$6&gt;$R$3:$R$6))+ISBLANK(H$3:H$6))</f>
      </c>
      <c r="I14" s="1">
        <f>SUMPRODUCT((NOT(ISBLANK(I$3:I$6))*(I$3:I$6&gt;$R$3:$R$6))+ISBLANK(I$3:I$6))</f>
      </c>
      <c r="J14" s="1">
        <f>SUMPRODUCT((NOT(ISBLANK(J$3:J$6))*(J$3:J$6&gt;$R$3:$R$6))+ISBLANK(J$3:J$6))</f>
      </c>
      <c r="K14" s="1">
        <f>SUMPRODUCT((NOT(ISBLANK(K$3:K$6))*(K$3:K$6&gt;$R$3:$R$6))+ISBLANK(K$3:K$6))</f>
      </c>
      <c r="L14" s="1">
        <f>SUMPRODUCT((NOT(ISBLANK(L$3:L$6))*(L$3:L$6&gt;$R$3:$R$6))+ISBLANK(L$3:L$6))</f>
      </c>
      <c r="M14" s="1">
        <f>SUMPRODUCT((NOT(ISBLANK(M$3:M$6))*(M$3:M$6&gt;$R$3:$R$6))+ISBLANK(M$3:M$6))</f>
      </c>
      <c r="N14" s="1">
        <f>SUMPRODUCT((NOT(ISBLANK(N$3:N$6))*(N$3:N$6&gt;$R$3:$R$6))+ISBLANK(N$3:N$6))</f>
      </c>
      <c r="O14" s="1">
        <f>SUMPRODUCT((NOT(ISBLANK(O$3:O$6))*(O$3:O$6&gt;$R$3:$R$6))+ISBLANK(O$3:O$6))</f>
      </c>
      <c r="P14" s="1">
        <f>SUMPRODUCT((NOT(ISBLANK(P$3:P$6))*(P$3:P$6&gt;$R$3:$R$6))+ISBLANK(P$3:P$6))</f>
      </c>
      <c r="Q14" s="1"/>
      <c r="R14" s="1"/>
      <c r="S14" s="1"/>
    </row>
    <row x14ac:dyDescent="0.25" r="15" customHeight="1" ht="17.25">
      <c r="A15" s="5" t="s">
        <v>27</v>
      </c>
      <c r="B15" s="1">
        <f>SUMPRODUCT((NOT(ISBLANK(B$3:B$6))*(B$3:B$6=$S$3:$S$6))+ISBLANK(B$3:B$6))</f>
      </c>
      <c r="C15" s="1">
        <f>SUMPRODUCT((NOT(ISBLANK(C$3:C$6))*(C$3:C$6=$S$3:$S$6))+ISBLANK(C$3:C$6))</f>
      </c>
      <c r="D15" s="1">
        <f>SUMPRODUCT((NOT(ISBLANK(D$3:D$6))*(D$3:D$6=$S$3:$S$6))+ISBLANK(D$3:D$6))</f>
      </c>
      <c r="E15" s="1">
        <f>SUMPRODUCT((NOT(ISBLANK(E$3:E$6))*(E$3:E$6=$S$3:$S$6))+ISBLANK(E$3:E$6))</f>
      </c>
      <c r="F15" s="1">
        <f>SUMPRODUCT((NOT(ISBLANK(F$3:F$6))*(F$3:F$6=$S$3:$S$6))+ISBLANK(F$3:F$6))</f>
      </c>
      <c r="G15" s="1">
        <f>SUMPRODUCT((NOT(ISBLANK(G$3:G$6))*(G$3:G$6=$S$3:$S$6))+ISBLANK(G$3:G$6))</f>
      </c>
      <c r="H15" s="1">
        <f>SUMPRODUCT((NOT(ISBLANK(H$3:H$6))*(H$3:H$6=$S$3:$S$6))+ISBLANK(H$3:H$6))</f>
      </c>
      <c r="I15" s="1">
        <f>SUMPRODUCT((NOT(ISBLANK(I$3:I$6))*(I$3:I$6=$S$3:$S$6))+ISBLANK(I$3:I$6))</f>
      </c>
      <c r="J15" s="1">
        <f>SUMPRODUCT((NOT(ISBLANK(J$3:J$6))*(J$3:J$6=$S$3:$S$6))+ISBLANK(J$3:J$6))</f>
      </c>
      <c r="K15" s="1">
        <f>SUMPRODUCT((NOT(ISBLANK(K$3:K$6))*(K$3:K$6=$S$3:$S$6))+ISBLANK(K$3:K$6))</f>
      </c>
      <c r="L15" s="1">
        <f>SUMPRODUCT((NOT(ISBLANK(L$3:L$6))*(L$3:L$6=$S$3:$S$6))+ISBLANK(L$3:L$6))</f>
      </c>
      <c r="M15" s="1">
        <f>SUMPRODUCT((NOT(ISBLANK(M$3:M$6))*(M$3:M$6=$S$3:$S$6))+ISBLANK(M$3:M$6))</f>
      </c>
      <c r="N15" s="1">
        <f>SUMPRODUCT((NOT(ISBLANK(N$3:N$6))*(N$3:N$6=$S$3:$S$6))+ISBLANK(N$3:N$6))</f>
      </c>
      <c r="O15" s="1">
        <f>SUMPRODUCT((NOT(ISBLANK(O$3:O$6))*(O$3:O$6=$S$3:$S$6))+ISBLANK(O$3:O$6))</f>
      </c>
      <c r="P15" s="1">
        <f>SUMPRODUCT((NOT(ISBLANK(P$3:P$6))*(P$3:P$6=$S$3:$S$6))+ISBLANK(P$3:P$6))</f>
      </c>
      <c r="Q15" s="1"/>
      <c r="R15" s="1"/>
      <c r="S1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15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3" width="11.43357142857143" customWidth="1" bestFit="1"/>
    <col min="2" max="2" style="4" width="40.57642857142857" customWidth="1" bestFit="1"/>
    <col min="3" max="3" style="4" width="42.29071428571429" customWidth="1" bestFit="1"/>
    <col min="4" max="4" style="4" width="40.57642857142857" customWidth="1" bestFit="1"/>
    <col min="5" max="5" style="4" width="42.29071428571429" customWidth="1" bestFit="1"/>
    <col min="6" max="6" style="4" width="40.57642857142857" customWidth="1" bestFit="1"/>
    <col min="7" max="7" style="4" width="42.29071428571429" customWidth="1" bestFit="1"/>
    <col min="8" max="8" style="4" width="40.005" customWidth="1" bestFit="1"/>
    <col min="9" max="9" style="4" width="40.86214285714286" customWidth="1" bestFit="1"/>
    <col min="10" max="10" style="4" width="42.57642857142857" customWidth="1" bestFit="1"/>
    <col min="11" max="11" style="4" width="40.005" customWidth="1" bestFit="1"/>
    <col min="12" max="12" style="4" width="40.86214285714286" customWidth="1" bestFit="1"/>
    <col min="13" max="13" style="4" width="42.57642857142857" customWidth="1" bestFit="1"/>
    <col min="14" max="14" style="4" width="40.005" customWidth="1" bestFit="1"/>
    <col min="15" max="15" style="4" width="40.86214285714286" customWidth="1" bestFit="1"/>
    <col min="16" max="16" style="4" width="42.57642857142857" customWidth="1" bestFit="1"/>
    <col min="17" max="17" style="3" width="11.43357142857143" customWidth="1" bestFit="1"/>
    <col min="18" max="18" style="3" width="11.43357142857143" customWidth="1" bestFit="1"/>
    <col min="19" max="19" style="3" width="11.43357142857143" customWidth="1" bestFit="1"/>
  </cols>
  <sheetData>
    <row x14ac:dyDescent="0.25" r="1" customHeight="1" ht="17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</row>
    <row x14ac:dyDescent="0.25" r="2" customHeight="1" ht="17.25">
      <c r="A2" s="1"/>
      <c r="B2" s="2" t="s">
        <v>18</v>
      </c>
      <c r="C2" s="2" t="s">
        <v>18</v>
      </c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  <c r="Q2" s="2" t="s">
        <v>18</v>
      </c>
      <c r="R2" s="2" t="s">
        <v>18</v>
      </c>
      <c r="S2" s="2" t="s">
        <v>18</v>
      </c>
    </row>
    <row x14ac:dyDescent="0.25" r="3" customHeight="1" ht="17.25">
      <c r="A3" s="2" t="s">
        <v>19</v>
      </c>
      <c r="B3" s="1"/>
      <c r="C3" s="1"/>
      <c r="D3" s="1"/>
      <c r="E3" s="1"/>
      <c r="F3" s="1"/>
      <c r="G3" s="1"/>
      <c r="H3" s="1">
        <f>AVERAGE(Instances!H3:Instances!H3)</f>
      </c>
      <c r="I3" s="1">
        <f>AVERAGE(Instances!I3:Instances!I3)</f>
      </c>
      <c r="J3" s="1">
        <f>AVERAGE(Instances!J3:Instances!J3)</f>
      </c>
      <c r="K3" s="1">
        <f>AVERAGE(Instances!K3:Instances!K3)</f>
      </c>
      <c r="L3" s="1">
        <f>AVERAGE(Instances!L3:Instances!L3)</f>
      </c>
      <c r="M3" s="1">
        <f>AVERAGE(Instances!M3:Instances!M3)</f>
      </c>
      <c r="N3" s="1">
        <f>AVERAGE(Instances!N3:Instances!N3)</f>
      </c>
      <c r="O3" s="1">
        <f>AVERAGE(Instances!O3:Instances!O3)</f>
      </c>
      <c r="P3" s="1">
        <f>AVERAGE(Instances!P3:Instances!P3)</f>
      </c>
      <c r="Q3" s="1">
        <f>MIN($B3,$C3,$D3,$E3,$F3,$G3,$H3,$I3,$J3,$K3,$L3,$M3,$N3,$O3,$P3)</f>
      </c>
      <c r="R3" s="1">
        <f>MEDIAN($B3,$C3,$D3,$E3,$F3,$G3,$H3,$I3,$J3,$K3,$L3,$M3,$N3,$O3,$P3)</f>
      </c>
      <c r="S3" s="1">
        <f>MAX($B3,$C3,$D3,$E3,$F3,$G3,$H3,$I3,$J3,$K3,$L3,$M3,$N3,$O3,$P3)</f>
      </c>
    </row>
    <row x14ac:dyDescent="0.25" r="4" customHeight="1" ht="17.25">
      <c r="A4" s="2" t="s">
        <v>19</v>
      </c>
      <c r="B4" s="1">
        <f>AVERAGE(Instances!B4:Instances!B4)</f>
      </c>
      <c r="C4" s="1">
        <f>AVERAGE(Instances!C4:Instances!C4)</f>
      </c>
      <c r="D4" s="1">
        <f>AVERAGE(Instances!D4:Instances!D4)</f>
      </c>
      <c r="E4" s="1">
        <f>AVERAGE(Instances!E4:Instances!E4)</f>
      </c>
      <c r="F4" s="1">
        <f>AVERAGE(Instances!F4:Instances!F4)</f>
      </c>
      <c r="G4" s="1">
        <f>AVERAGE(Instances!G4:Instances!G4)</f>
      </c>
      <c r="H4" s="1"/>
      <c r="I4" s="1"/>
      <c r="J4" s="1"/>
      <c r="K4" s="1"/>
      <c r="L4" s="1"/>
      <c r="M4" s="1"/>
      <c r="N4" s="1"/>
      <c r="O4" s="1"/>
      <c r="P4" s="1"/>
      <c r="Q4" s="1">
        <f>MIN($B4,$C4,$D4,$E4,$F4,$G4,$H4,$I4,$J4,$K4,$L4,$M4,$N4,$O4,$P4)</f>
      </c>
      <c r="R4" s="1">
        <f>MEDIAN($B4,$C4,$D4,$E4,$F4,$G4,$H4,$I4,$J4,$K4,$L4,$M4,$N4,$O4,$P4)</f>
      </c>
      <c r="S4" s="1">
        <f>MAX($B4,$C4,$D4,$E4,$F4,$G4,$H4,$I4,$J4,$K4,$L4,$M4,$N4,$O4,$P4)</f>
      </c>
    </row>
    <row x14ac:dyDescent="0.25" r="5" customHeight="1" ht="17.25">
      <c r="A5" s="2" t="s">
        <v>19</v>
      </c>
      <c r="B5" s="1">
        <f>AVERAGE(Instances!B5:Instances!B5)</f>
      </c>
      <c r="C5" s="1">
        <f>AVERAGE(Instances!C5:Instances!C5)</f>
      </c>
      <c r="D5" s="1">
        <f>AVERAGE(Instances!D5:Instances!D5)</f>
      </c>
      <c r="E5" s="1">
        <f>AVERAGE(Instances!E5:Instances!E5)</f>
      </c>
      <c r="F5" s="1">
        <f>AVERAGE(Instances!F5:Instances!F5)</f>
      </c>
      <c r="G5" s="1">
        <f>AVERAGE(Instances!G5:Instances!G5)</f>
      </c>
      <c r="H5" s="1"/>
      <c r="I5" s="1"/>
      <c r="J5" s="1"/>
      <c r="K5" s="1"/>
      <c r="L5" s="1"/>
      <c r="M5" s="1"/>
      <c r="N5" s="1"/>
      <c r="O5" s="1"/>
      <c r="P5" s="1"/>
      <c r="Q5" s="1">
        <f>MIN($B5,$C5,$D5,$E5,$F5,$G5,$H5,$I5,$J5,$K5,$L5,$M5,$N5,$O5,$P5)</f>
      </c>
      <c r="R5" s="1">
        <f>MEDIAN($B5,$C5,$D5,$E5,$F5,$G5,$H5,$I5,$J5,$K5,$L5,$M5,$N5,$O5,$P5)</f>
      </c>
      <c r="S5" s="1">
        <f>MAX($B5,$C5,$D5,$E5,$F5,$G5,$H5,$I5,$J5,$K5,$L5,$M5,$N5,$O5,$P5)</f>
      </c>
    </row>
    <row x14ac:dyDescent="0.25" r="6" customHeight="1" ht="17.25">
      <c r="A6" s="2" t="s">
        <v>19</v>
      </c>
      <c r="B6" s="1">
        <f>AVERAGE(Instances!B6:Instances!B6)</f>
      </c>
      <c r="C6" s="1">
        <f>AVERAGE(Instances!C6:Instances!C6)</f>
      </c>
      <c r="D6" s="1">
        <f>AVERAGE(Instances!D6:Instances!D6)</f>
      </c>
      <c r="E6" s="1">
        <f>AVERAGE(Instances!E6:Instances!E6)</f>
      </c>
      <c r="F6" s="1">
        <f>AVERAGE(Instances!F6:Instances!F6)</f>
      </c>
      <c r="G6" s="1">
        <f>AVERAGE(Instances!G6:Instances!G6)</f>
      </c>
      <c r="H6" s="1"/>
      <c r="I6" s="1"/>
      <c r="J6" s="1"/>
      <c r="K6" s="1"/>
      <c r="L6" s="1"/>
      <c r="M6" s="1"/>
      <c r="N6" s="1"/>
      <c r="O6" s="1"/>
      <c r="P6" s="1"/>
      <c r="Q6" s="1">
        <f>MIN($B6,$C6,$D6,$E6,$F6,$G6,$H6,$I6,$J6,$K6,$L6,$M6,$N6,$O6,$P6)</f>
      </c>
      <c r="R6" s="1">
        <f>MEDIAN($B6,$C6,$D6,$E6,$F6,$G6,$H6,$I6,$J6,$K6,$L6,$M6,$N6,$O6,$P6)</f>
      </c>
      <c r="S6" s="1">
        <f>MAX($B6,$C6,$D6,$E6,$F6,$G6,$H6,$I6,$J6,$K6,$L6,$M6,$N6,$O6,$P6)</f>
      </c>
    </row>
    <row x14ac:dyDescent="0.25" r="7" customHeight="1" ht="17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x14ac:dyDescent="0.25" r="8" customHeight="1" ht="17.25">
      <c r="A8" s="2" t="s">
        <v>20</v>
      </c>
      <c r="B8" s="1">
        <f>SUM(B$3:B$6)</f>
      </c>
      <c r="C8" s="1">
        <f>SUM(C$3:C$6)</f>
      </c>
      <c r="D8" s="1">
        <f>SUM(D$3:D$6)</f>
      </c>
      <c r="E8" s="1">
        <f>SUM(E$3:E$6)</f>
      </c>
      <c r="F8" s="1">
        <f>SUM(F$3:F$6)</f>
      </c>
      <c r="G8" s="1">
        <f>SUM(G$3:G$6)</f>
      </c>
      <c r="H8" s="1">
        <f>SUM(H$3:H$6)</f>
      </c>
      <c r="I8" s="1">
        <f>SUM(I$3:I$6)</f>
      </c>
      <c r="J8" s="1">
        <f>SUM(J$3:J$6)</f>
      </c>
      <c r="K8" s="1">
        <f>SUM(K$3:K$6)</f>
      </c>
      <c r="L8" s="1">
        <f>SUM(L$3:L$6)</f>
      </c>
      <c r="M8" s="1">
        <f>SUM(M$3:M$6)</f>
      </c>
      <c r="N8" s="1">
        <f>SUM(N$3:N$6)</f>
      </c>
      <c r="O8" s="1">
        <f>SUM(O$3:O$6)</f>
      </c>
      <c r="P8" s="1">
        <f>SUM(P$3:P$6)</f>
      </c>
      <c r="Q8" s="1">
        <f>SUM(Q$3:Q$6)</f>
      </c>
      <c r="R8" s="1">
        <f>SUM(R$3:R$6)</f>
      </c>
      <c r="S8" s="1">
        <f>SUM(S$3:S$6)</f>
      </c>
    </row>
    <row x14ac:dyDescent="0.25" r="9" customHeight="1" ht="17.25">
      <c r="A9" s="2" t="s">
        <v>21</v>
      </c>
      <c r="B9" s="1">
        <f>AVERAGE(B$3:B$6)</f>
      </c>
      <c r="C9" s="1">
        <f>AVERAGE(C$3:C$6)</f>
      </c>
      <c r="D9" s="1">
        <f>AVERAGE(D$3:D$6)</f>
      </c>
      <c r="E9" s="1">
        <f>AVERAGE(E$3:E$6)</f>
      </c>
      <c r="F9" s="1">
        <f>AVERAGE(F$3:F$6)</f>
      </c>
      <c r="G9" s="1">
        <f>AVERAGE(G$3:G$6)</f>
      </c>
      <c r="H9" s="1">
        <f>AVERAGE(H$3:H$6)</f>
      </c>
      <c r="I9" s="1">
        <f>AVERAGE(I$3:I$6)</f>
      </c>
      <c r="J9" s="1">
        <f>AVERAGE(J$3:J$6)</f>
      </c>
      <c r="K9" s="1">
        <f>AVERAGE(K$3:K$6)</f>
      </c>
      <c r="L9" s="1">
        <f>AVERAGE(L$3:L$6)</f>
      </c>
      <c r="M9" s="1">
        <f>AVERAGE(M$3:M$6)</f>
      </c>
      <c r="N9" s="1">
        <f>AVERAGE(N$3:N$6)</f>
      </c>
      <c r="O9" s="1">
        <f>AVERAGE(O$3:O$6)</f>
      </c>
      <c r="P9" s="1">
        <f>AVERAGE(P$3:P$6)</f>
      </c>
      <c r="Q9" s="1">
        <f>AVERAGE(Q$3:Q$6)</f>
      </c>
      <c r="R9" s="1">
        <f>AVERAGE(R$3:R$6)</f>
      </c>
      <c r="S9" s="1">
        <f>AVERAGE(S$3:S$6)</f>
      </c>
    </row>
    <row x14ac:dyDescent="0.25" r="10" customHeight="1" ht="17.25">
      <c r="A10" s="2" t="s">
        <v>22</v>
      </c>
      <c r="B10" s="1">
        <f>STDEV(B$3:B$6)</f>
      </c>
      <c r="C10" s="1">
        <f>STDEV(C$3:C$6)</f>
      </c>
      <c r="D10" s="1">
        <f>STDEV(D$3:D$6)</f>
      </c>
      <c r="E10" s="1">
        <f>STDEV(E$3:E$6)</f>
      </c>
      <c r="F10" s="1">
        <f>STDEV(F$3:F$6)</f>
      </c>
      <c r="G10" s="1">
        <f>STDEV(G$3:G$6)</f>
      </c>
      <c r="H10" s="1">
        <f>STDEV(H$3:H$6)</f>
      </c>
      <c r="I10" s="1">
        <f>STDEV(I$3:I$6)</f>
      </c>
      <c r="J10" s="1">
        <f>STDEV(J$3:J$6)</f>
      </c>
      <c r="K10" s="1">
        <f>STDEV(K$3:K$6)</f>
      </c>
      <c r="L10" s="1">
        <f>STDEV(L$3:L$6)</f>
      </c>
      <c r="M10" s="1">
        <f>STDEV(M$3:M$6)</f>
      </c>
      <c r="N10" s="1">
        <f>STDEV(N$3:N$6)</f>
      </c>
      <c r="O10" s="1">
        <f>STDEV(O$3:O$6)</f>
      </c>
      <c r="P10" s="1">
        <f>STDEV(P$3:P$6)</f>
      </c>
      <c r="Q10" s="1">
        <f>STDEV(Q$3:Q$6)</f>
      </c>
      <c r="R10" s="1">
        <f>STDEV(R$3:R$6)</f>
      </c>
      <c r="S10" s="1">
        <f>STDEV(S$3:S$6)</f>
      </c>
    </row>
    <row x14ac:dyDescent="0.25" r="11" customHeight="1" ht="17.25">
      <c r="A11" s="2" t="s">
        <v>23</v>
      </c>
      <c r="B11" s="1">
        <f>SUMPRODUCT(--(B$3:B$6-$Q$3:$Q$6)^2)^0.5</f>
      </c>
      <c r="C11" s="1">
        <f>SUMPRODUCT(--(C$3:C$6-$Q$3:$Q$6)^2)^0.5</f>
      </c>
      <c r="D11" s="1">
        <f>SUMPRODUCT(--(D$3:D$6-$Q$3:$Q$6)^2)^0.5</f>
      </c>
      <c r="E11" s="1">
        <f>SUMPRODUCT(--(E$3:E$6-$Q$3:$Q$6)^2)^0.5</f>
      </c>
      <c r="F11" s="1">
        <f>SUMPRODUCT(--(F$3:F$6-$Q$3:$Q$6)^2)^0.5</f>
      </c>
      <c r="G11" s="1">
        <f>SUMPRODUCT(--(G$3:G$6-$Q$3:$Q$6)^2)^0.5</f>
      </c>
      <c r="H11" s="1">
        <f>SUMPRODUCT(--(H$3:H$6-$Q$3:$Q$6)^2)^0.5</f>
      </c>
      <c r="I11" s="1">
        <f>SUMPRODUCT(--(I$3:I$6-$Q$3:$Q$6)^2)^0.5</f>
      </c>
      <c r="J11" s="1">
        <f>SUMPRODUCT(--(J$3:J$6-$Q$3:$Q$6)^2)^0.5</f>
      </c>
      <c r="K11" s="1">
        <f>SUMPRODUCT(--(K$3:K$6-$Q$3:$Q$6)^2)^0.5</f>
      </c>
      <c r="L11" s="1">
        <f>SUMPRODUCT(--(L$3:L$6-$Q$3:$Q$6)^2)^0.5</f>
      </c>
      <c r="M11" s="1">
        <f>SUMPRODUCT(--(M$3:M$6-$Q$3:$Q$6)^2)^0.5</f>
      </c>
      <c r="N11" s="1">
        <f>SUMPRODUCT(--(N$3:N$6-$Q$3:$Q$6)^2)^0.5</f>
      </c>
      <c r="O11" s="1">
        <f>SUMPRODUCT(--(O$3:O$6-$Q$3:$Q$6)^2)^0.5</f>
      </c>
      <c r="P11" s="1">
        <f>SUMPRODUCT(--(P$3:P$6-$Q$3:$Q$6)^2)^0.5</f>
      </c>
      <c r="Q11" s="1"/>
      <c r="R11" s="1"/>
      <c r="S11" s="1"/>
    </row>
    <row x14ac:dyDescent="0.25" r="12" customHeight="1" ht="17.25">
      <c r="A12" s="2" t="s">
        <v>24</v>
      </c>
      <c r="B12" s="1">
        <f>SUMPRODUCT(NOT(ISBLANK(B$3:B$6))*(B$3:B$6=$Q$3:$Q$6))</f>
      </c>
      <c r="C12" s="1">
        <f>SUMPRODUCT(NOT(ISBLANK(C$3:C$6))*(C$3:C$6=$Q$3:$Q$6))</f>
      </c>
      <c r="D12" s="1">
        <f>SUMPRODUCT(NOT(ISBLANK(D$3:D$6))*(D$3:D$6=$Q$3:$Q$6))</f>
      </c>
      <c r="E12" s="1">
        <f>SUMPRODUCT(NOT(ISBLANK(E$3:E$6))*(E$3:E$6=$Q$3:$Q$6))</f>
      </c>
      <c r="F12" s="1">
        <f>SUMPRODUCT(NOT(ISBLANK(F$3:F$6))*(F$3:F$6=$Q$3:$Q$6))</f>
      </c>
      <c r="G12" s="1">
        <f>SUMPRODUCT(NOT(ISBLANK(G$3:G$6))*(G$3:G$6=$Q$3:$Q$6))</f>
      </c>
      <c r="H12" s="1">
        <f>SUMPRODUCT(NOT(ISBLANK(H$3:H$6))*(H$3:H$6=$Q$3:$Q$6))</f>
      </c>
      <c r="I12" s="1">
        <f>SUMPRODUCT(NOT(ISBLANK(I$3:I$6))*(I$3:I$6=$Q$3:$Q$6))</f>
      </c>
      <c r="J12" s="1">
        <f>SUMPRODUCT(NOT(ISBLANK(J$3:J$6))*(J$3:J$6=$Q$3:$Q$6))</f>
      </c>
      <c r="K12" s="1">
        <f>SUMPRODUCT(NOT(ISBLANK(K$3:K$6))*(K$3:K$6=$Q$3:$Q$6))</f>
      </c>
      <c r="L12" s="1">
        <f>SUMPRODUCT(NOT(ISBLANK(L$3:L$6))*(L$3:L$6=$Q$3:$Q$6))</f>
      </c>
      <c r="M12" s="1">
        <f>SUMPRODUCT(NOT(ISBLANK(M$3:M$6))*(M$3:M$6=$Q$3:$Q$6))</f>
      </c>
      <c r="N12" s="1">
        <f>SUMPRODUCT(NOT(ISBLANK(N$3:N$6))*(N$3:N$6=$Q$3:$Q$6))</f>
      </c>
      <c r="O12" s="1">
        <f>SUMPRODUCT(NOT(ISBLANK(O$3:O$6))*(O$3:O$6=$Q$3:$Q$6))</f>
      </c>
      <c r="P12" s="1">
        <f>SUMPRODUCT(NOT(ISBLANK(P$3:P$6))*(P$3:P$6=$Q$3:$Q$6))</f>
      </c>
      <c r="Q12" s="1"/>
      <c r="R12" s="1"/>
      <c r="S12" s="1"/>
    </row>
    <row x14ac:dyDescent="0.25" r="13" customHeight="1" ht="17.25">
      <c r="A13" s="2" t="s">
        <v>25</v>
      </c>
      <c r="B13" s="1">
        <f>SUMPRODUCT(NOT(ISBLANK(B$3:B$6))*(B$3:B$6&lt;$R$3:$R$6))</f>
      </c>
      <c r="C13" s="1">
        <f>SUMPRODUCT(NOT(ISBLANK(C$3:C$6))*(C$3:C$6&lt;$R$3:$R$6))</f>
      </c>
      <c r="D13" s="1">
        <f>SUMPRODUCT(NOT(ISBLANK(D$3:D$6))*(D$3:D$6&lt;$R$3:$R$6))</f>
      </c>
      <c r="E13" s="1">
        <f>SUMPRODUCT(NOT(ISBLANK(E$3:E$6))*(E$3:E$6&lt;$R$3:$R$6))</f>
      </c>
      <c r="F13" s="1">
        <f>SUMPRODUCT(NOT(ISBLANK(F$3:F$6))*(F$3:F$6&lt;$R$3:$R$6))</f>
      </c>
      <c r="G13" s="1">
        <f>SUMPRODUCT(NOT(ISBLANK(G$3:G$6))*(G$3:G$6&lt;$R$3:$R$6))</f>
      </c>
      <c r="H13" s="1">
        <f>SUMPRODUCT(NOT(ISBLANK(H$3:H$6))*(H$3:H$6&lt;$R$3:$R$6))</f>
      </c>
      <c r="I13" s="1">
        <f>SUMPRODUCT(NOT(ISBLANK(I$3:I$6))*(I$3:I$6&lt;$R$3:$R$6))</f>
      </c>
      <c r="J13" s="1">
        <f>SUMPRODUCT(NOT(ISBLANK(J$3:J$6))*(J$3:J$6&lt;$R$3:$R$6))</f>
      </c>
      <c r="K13" s="1">
        <f>SUMPRODUCT(NOT(ISBLANK(K$3:K$6))*(K$3:K$6&lt;$R$3:$R$6))</f>
      </c>
      <c r="L13" s="1">
        <f>SUMPRODUCT(NOT(ISBLANK(L$3:L$6))*(L$3:L$6&lt;$R$3:$R$6))</f>
      </c>
      <c r="M13" s="1">
        <f>SUMPRODUCT(NOT(ISBLANK(M$3:M$6))*(M$3:M$6&lt;$R$3:$R$6))</f>
      </c>
      <c r="N13" s="1">
        <f>SUMPRODUCT(NOT(ISBLANK(N$3:N$6))*(N$3:N$6&lt;$R$3:$R$6))</f>
      </c>
      <c r="O13" s="1">
        <f>SUMPRODUCT(NOT(ISBLANK(O$3:O$6))*(O$3:O$6&lt;$R$3:$R$6))</f>
      </c>
      <c r="P13" s="1">
        <f>SUMPRODUCT(NOT(ISBLANK(P$3:P$6))*(P$3:P$6&lt;$R$3:$R$6))</f>
      </c>
      <c r="Q13" s="1"/>
      <c r="R13" s="1"/>
      <c r="S13" s="1"/>
    </row>
    <row x14ac:dyDescent="0.25" r="14" customHeight="1" ht="17.25">
      <c r="A14" s="2" t="s">
        <v>26</v>
      </c>
      <c r="B14" s="1">
        <f>SUMPRODUCT((NOT(ISBLANK(B$3:B$6))*(B$3:B$6&gt;$R$3:$R$6))+ISBLANK(B$3:B$6))</f>
      </c>
      <c r="C14" s="1">
        <f>SUMPRODUCT((NOT(ISBLANK(C$3:C$6))*(C$3:C$6&gt;$R$3:$R$6))+ISBLANK(C$3:C$6))</f>
      </c>
      <c r="D14" s="1">
        <f>SUMPRODUCT((NOT(ISBLANK(D$3:D$6))*(D$3:D$6&gt;$R$3:$R$6))+ISBLANK(D$3:D$6))</f>
      </c>
      <c r="E14" s="1">
        <f>SUMPRODUCT((NOT(ISBLANK(E$3:E$6))*(E$3:E$6&gt;$R$3:$R$6))+ISBLANK(E$3:E$6))</f>
      </c>
      <c r="F14" s="1">
        <f>SUMPRODUCT((NOT(ISBLANK(F$3:F$6))*(F$3:F$6&gt;$R$3:$R$6))+ISBLANK(F$3:F$6))</f>
      </c>
      <c r="G14" s="1">
        <f>SUMPRODUCT((NOT(ISBLANK(G$3:G$6))*(G$3:G$6&gt;$R$3:$R$6))+ISBLANK(G$3:G$6))</f>
      </c>
      <c r="H14" s="1">
        <f>SUMPRODUCT((NOT(ISBLANK(H$3:H$6))*(H$3:H$6&gt;$R$3:$R$6))+ISBLANK(H$3:H$6))</f>
      </c>
      <c r="I14" s="1">
        <f>SUMPRODUCT((NOT(ISBLANK(I$3:I$6))*(I$3:I$6&gt;$R$3:$R$6))+ISBLANK(I$3:I$6))</f>
      </c>
      <c r="J14" s="1">
        <f>SUMPRODUCT((NOT(ISBLANK(J$3:J$6))*(J$3:J$6&gt;$R$3:$R$6))+ISBLANK(J$3:J$6))</f>
      </c>
      <c r="K14" s="1">
        <f>SUMPRODUCT((NOT(ISBLANK(K$3:K$6))*(K$3:K$6&gt;$R$3:$R$6))+ISBLANK(K$3:K$6))</f>
      </c>
      <c r="L14" s="1">
        <f>SUMPRODUCT((NOT(ISBLANK(L$3:L$6))*(L$3:L$6&gt;$R$3:$R$6))+ISBLANK(L$3:L$6))</f>
      </c>
      <c r="M14" s="1">
        <f>SUMPRODUCT((NOT(ISBLANK(M$3:M$6))*(M$3:M$6&gt;$R$3:$R$6))+ISBLANK(M$3:M$6))</f>
      </c>
      <c r="N14" s="1">
        <f>SUMPRODUCT((NOT(ISBLANK(N$3:N$6))*(N$3:N$6&gt;$R$3:$R$6))+ISBLANK(N$3:N$6))</f>
      </c>
      <c r="O14" s="1">
        <f>SUMPRODUCT((NOT(ISBLANK(O$3:O$6))*(O$3:O$6&gt;$R$3:$R$6))+ISBLANK(O$3:O$6))</f>
      </c>
      <c r="P14" s="1">
        <f>SUMPRODUCT((NOT(ISBLANK(P$3:P$6))*(P$3:P$6&gt;$R$3:$R$6))+ISBLANK(P$3:P$6))</f>
      </c>
      <c r="Q14" s="1"/>
      <c r="R14" s="1"/>
      <c r="S14" s="1"/>
    </row>
    <row x14ac:dyDescent="0.25" r="15" customHeight="1" ht="17.25">
      <c r="A15" s="2" t="s">
        <v>27</v>
      </c>
      <c r="B15" s="1">
        <f>SUMPRODUCT((NOT(ISBLANK(B$3:B$6))*(B$3:B$6=$S$3:$S$6))+ISBLANK(B$3:B$6))</f>
      </c>
      <c r="C15" s="1">
        <f>SUMPRODUCT((NOT(ISBLANK(C$3:C$6))*(C$3:C$6=$S$3:$S$6))+ISBLANK(C$3:C$6))</f>
      </c>
      <c r="D15" s="1">
        <f>SUMPRODUCT((NOT(ISBLANK(D$3:D$6))*(D$3:D$6=$S$3:$S$6))+ISBLANK(D$3:D$6))</f>
      </c>
      <c r="E15" s="1">
        <f>SUMPRODUCT((NOT(ISBLANK(E$3:E$6))*(E$3:E$6=$S$3:$S$6))+ISBLANK(E$3:E$6))</f>
      </c>
      <c r="F15" s="1">
        <f>SUMPRODUCT((NOT(ISBLANK(F$3:F$6))*(F$3:F$6=$S$3:$S$6))+ISBLANK(F$3:F$6))</f>
      </c>
      <c r="G15" s="1">
        <f>SUMPRODUCT((NOT(ISBLANK(G$3:G$6))*(G$3:G$6=$S$3:$S$6))+ISBLANK(G$3:G$6))</f>
      </c>
      <c r="H15" s="1">
        <f>SUMPRODUCT((NOT(ISBLANK(H$3:H$6))*(H$3:H$6=$S$3:$S$6))+ISBLANK(H$3:H$6))</f>
      </c>
      <c r="I15" s="1">
        <f>SUMPRODUCT((NOT(ISBLANK(I$3:I$6))*(I$3:I$6=$S$3:$S$6))+ISBLANK(I$3:I$6))</f>
      </c>
      <c r="J15" s="1">
        <f>SUMPRODUCT((NOT(ISBLANK(J$3:J$6))*(J$3:J$6=$S$3:$S$6))+ISBLANK(J$3:J$6))</f>
      </c>
      <c r="K15" s="1">
        <f>SUMPRODUCT((NOT(ISBLANK(K$3:K$6))*(K$3:K$6=$S$3:$S$6))+ISBLANK(K$3:K$6))</f>
      </c>
      <c r="L15" s="1">
        <f>SUMPRODUCT((NOT(ISBLANK(L$3:L$6))*(L$3:L$6=$S$3:$S$6))+ISBLANK(L$3:L$6))</f>
      </c>
      <c r="M15" s="1">
        <f>SUMPRODUCT((NOT(ISBLANK(M$3:M$6))*(M$3:M$6=$S$3:$S$6))+ISBLANK(M$3:M$6))</f>
      </c>
      <c r="N15" s="1">
        <f>SUMPRODUCT((NOT(ISBLANK(N$3:N$6))*(N$3:N$6=$S$3:$S$6))+ISBLANK(N$3:N$6))</f>
      </c>
      <c r="O15" s="1">
        <f>SUMPRODUCT((NOT(ISBLANK(O$3:O$6))*(O$3:O$6=$S$3:$S$6))+ISBLANK(O$3:O$6))</f>
      </c>
      <c r="P15" s="1">
        <f>SUMPRODUCT((NOT(ISBLANK(P$3:P$6))*(P$3:P$6=$S$3:$S$6))+ISBLANK(P$3:P$6))</f>
      </c>
      <c r="Q15" s="1"/>
      <c r="R15" s="1"/>
      <c r="S15" s="1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Instances</vt:lpstr>
      <vt:lpstr>Merged Runs</vt:lpstr>
      <vt:lpstr>Classes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2026-02-09T22:47:04.011Z</dcterms:created>
  <dcterms:modified xsi:type="dcterms:W3CDTF">2026-02-09T22:47:04.011Z</dcterms:modified>
</cp:coreProperties>
</file>