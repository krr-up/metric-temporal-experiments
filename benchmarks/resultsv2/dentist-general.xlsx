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nces" sheetId="1" r:id="rId1"/>
    <sheet name="Merged Runs" sheetId="2" r:id="rId2"/>
    <sheet name="Classes" sheetId="3" r:id="rId3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<sst xmlns="http://schemas.openxmlformats.org/spreadsheetml/2006/main" count="128" uniqueCount="26">
  <si>
    <t>instances/size-1</t>
  </si>
  <si>
    <t>instances/size-10</t>
  </si>
  <si>
    <t>instances/size-5</t>
  </si>
  <si>
    <t>instances/size-7</t>
  </si>
  <si>
    <t>SUM</t>
  </si>
  <si>
    <t>AVG</t>
  </si>
  <si>
    <t>DEV</t>
  </si>
  <si>
    <t>DST</t>
  </si>
  <si>
    <t>BEST</t>
  </si>
  <si>
    <t>BETTER</t>
  </si>
  <si>
    <t>WORSE</t>
  </si>
  <si>
    <t>WORST</t>
  </si>
  <si>
    <t>memelingo-1/goal_mlp-tplp-ht</t>
  </si>
  <si>
    <t>time</t>
  </si>
  <si>
    <t>stime</t>
  </si>
  <si>
    <t>status</t>
  </si>
  <si>
    <t>SATISFIABLE</t>
  </si>
  <si>
    <t>UNKNOWN</t>
  </si>
  <si>
    <t>rules</t>
  </si>
  <si>
    <t>memelingo-1/goal_mlp-tplp-htc</t>
  </si>
  <si>
    <t>memelingo-1/goal_mlp-tplp-htcdl</t>
  </si>
  <si>
    <t>min</t>
  </si>
  <si>
    <t>median</t>
  </si>
  <si>
    <t>max</t>
  </si>
  <si>
    <t>Merge criteria:</t>
  </si>
  <si>
    <t>instances</t>
  </si>
</sst>
</file>

<file path=xl/styles.xml><?xml version="1.0" encoding="utf-8"?>
<styleSheet xmlns="http://schemas.openxmlformats.org/spreadsheetml/2006/main">
  <numFmts count="1">
    <numFmt numFmtId="164" formatCode="0.00"/>
  </numFmts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3" width="11.42578125" customWidth="1"/>
    <col min="4" max="4" width="11.7109375" customWidth="1"/>
    <col min="5" max="7" width="11.42578125" customWidth="1"/>
    <col min="8" max="8" width="11.7109375" customWidth="1"/>
    <col min="9" max="11" width="11.42578125" customWidth="1"/>
    <col min="12" max="12" width="11.7109375" customWidth="1"/>
    <col min="13" max="22" width="11.42578125" customWidth="1"/>
  </cols>
  <sheetData>
    <row r="1" spans="1:22">
      <c r="A1" s="1"/>
      <c r="B1" s="1" t="s">
        <v>12</v>
      </c>
      <c r="C1" s="1"/>
      <c r="D1" s="1"/>
      <c r="E1" s="1"/>
      <c r="F1" s="1" t="s">
        <v>19</v>
      </c>
      <c r="G1" s="1"/>
      <c r="H1" s="1"/>
      <c r="I1" s="1"/>
      <c r="J1" s="1" t="s">
        <v>20</v>
      </c>
      <c r="K1" s="1"/>
      <c r="L1" s="1"/>
      <c r="M1" s="1"/>
      <c r="N1" s="1" t="s">
        <v>21</v>
      </c>
      <c r="O1" s="1"/>
      <c r="P1" s="1"/>
      <c r="Q1" s="1" t="s">
        <v>22</v>
      </c>
      <c r="R1" s="1"/>
      <c r="S1" s="1"/>
      <c r="T1" s="1" t="s">
        <v>23</v>
      </c>
      <c r="U1" s="1"/>
      <c r="V1" s="1"/>
    </row>
    <row r="2" spans="1:22">
      <c r="A2" s="1"/>
      <c r="B2" s="1" t="s">
        <v>13</v>
      </c>
      <c r="C2" s="1" t="s">
        <v>14</v>
      </c>
      <c r="D2" s="1" t="s">
        <v>15</v>
      </c>
      <c r="E2" s="1" t="s">
        <v>18</v>
      </c>
      <c r="F2" s="1" t="s">
        <v>13</v>
      </c>
      <c r="G2" s="1" t="s">
        <v>14</v>
      </c>
      <c r="H2" s="1" t="s">
        <v>15</v>
      </c>
      <c r="I2" s="1" t="s">
        <v>18</v>
      </c>
      <c r="J2" s="1" t="s">
        <v>13</v>
      </c>
      <c r="K2" s="1" t="s">
        <v>14</v>
      </c>
      <c r="L2" s="1" t="s">
        <v>15</v>
      </c>
      <c r="M2" s="1" t="s">
        <v>18</v>
      </c>
      <c r="N2" s="1" t="s">
        <v>13</v>
      </c>
      <c r="O2" s="1" t="s">
        <v>14</v>
      </c>
      <c r="P2" s="1" t="s">
        <v>18</v>
      </c>
      <c r="Q2" s="1" t="s">
        <v>13</v>
      </c>
      <c r="R2" s="1" t="s">
        <v>14</v>
      </c>
      <c r="S2" s="1" t="s">
        <v>18</v>
      </c>
      <c r="T2" s="1" t="s">
        <v>13</v>
      </c>
      <c r="U2" s="1" t="s">
        <v>14</v>
      </c>
      <c r="V2" s="1" t="s">
        <v>18</v>
      </c>
    </row>
    <row r="3" spans="1:22">
      <c r="A3" s="1" t="s">
        <v>0</v>
      </c>
      <c r="B3" s="1">
        <v>9.289999999999999</v>
      </c>
      <c r="C3" s="1">
        <v>0.03</v>
      </c>
      <c r="D3" s="1" t="s">
        <v>16</v>
      </c>
      <c r="E3" s="1">
        <v>376978</v>
      </c>
      <c r="F3" s="1">
        <v>6.73</v>
      </c>
      <c r="G3" s="1">
        <v>0</v>
      </c>
      <c r="H3" s="1" t="s">
        <v>16</v>
      </c>
      <c r="I3" s="1">
        <v>2408</v>
      </c>
      <c r="J3" s="1">
        <v>6.77</v>
      </c>
      <c r="K3" s="1">
        <v>0</v>
      </c>
      <c r="L3" s="1" t="s">
        <v>16</v>
      </c>
      <c r="M3" s="1">
        <v>2408</v>
      </c>
      <c r="N3" s="1">
        <f>MIN($B3,$F3,$J3)</f>
        <v>0</v>
      </c>
      <c r="O3" s="1">
        <f>MIN($C3,$G3,$K3)</f>
        <v>0</v>
      </c>
      <c r="P3" s="1">
        <f>MIN($E3,$I3,$M3)</f>
        <v>0</v>
      </c>
      <c r="Q3" s="1">
        <f>MEDIAN($B3,$F3,$J3)</f>
        <v>0</v>
      </c>
      <c r="R3" s="1">
        <f>MEDIAN($C3,$G3,$K3)</f>
        <v>0</v>
      </c>
      <c r="S3" s="1">
        <f>MEDIAN($E3,$I3,$M3)</f>
        <v>0</v>
      </c>
      <c r="T3" s="1">
        <f>MAX($B3,$F3,$J3)</f>
        <v>0</v>
      </c>
      <c r="U3" s="1">
        <f>MAX($C3,$G3,$K3)</f>
        <v>0</v>
      </c>
      <c r="V3" s="1">
        <f>MAX($E3,$I3,$M3)</f>
        <v>0</v>
      </c>
    </row>
    <row r="4" spans="1:22">
      <c r="A4" s="1" t="s">
        <v>1</v>
      </c>
      <c r="B4" s="1">
        <v>1200</v>
      </c>
      <c r="C4" s="1">
        <v>0</v>
      </c>
      <c r="D4" s="1" t="s">
        <v>17</v>
      </c>
      <c r="E4" s="1">
        <v>0</v>
      </c>
      <c r="F4" s="1">
        <v>6.96</v>
      </c>
      <c r="G4" s="1">
        <v>0.01</v>
      </c>
      <c r="H4" s="1" t="s">
        <v>16</v>
      </c>
      <c r="I4" s="1">
        <v>2408</v>
      </c>
      <c r="J4" s="1">
        <v>7.1</v>
      </c>
      <c r="K4" s="1">
        <v>0</v>
      </c>
      <c r="L4" s="1" t="s">
        <v>16</v>
      </c>
      <c r="M4" s="1">
        <v>2408</v>
      </c>
      <c r="N4" s="1">
        <f>MIN($B4,$F4,$J4)</f>
        <v>0</v>
      </c>
      <c r="O4" s="1">
        <f>MIN($C4,$G4,$K4)</f>
        <v>0</v>
      </c>
      <c r="P4" s="1">
        <f>MIN($E4,$I4,$M4)</f>
        <v>0</v>
      </c>
      <c r="Q4" s="1">
        <f>MEDIAN($B4,$F4,$J4)</f>
        <v>0</v>
      </c>
      <c r="R4" s="1">
        <f>MEDIAN($C4,$G4,$K4)</f>
        <v>0</v>
      </c>
      <c r="S4" s="1">
        <f>MEDIAN($E4,$I4,$M4)</f>
        <v>0</v>
      </c>
      <c r="T4" s="1">
        <f>MAX($B4,$F4,$J4)</f>
        <v>0</v>
      </c>
      <c r="U4" s="1">
        <f>MAX($C4,$G4,$K4)</f>
        <v>0</v>
      </c>
      <c r="V4" s="1">
        <f>MAX($E4,$I4,$M4)</f>
        <v>0</v>
      </c>
    </row>
    <row r="5" spans="1:22">
      <c r="A5" s="1" t="s">
        <v>2</v>
      </c>
      <c r="B5" s="1">
        <v>83.31</v>
      </c>
      <c r="C5" s="1">
        <v>3.25</v>
      </c>
      <c r="D5" s="1" t="s">
        <v>16</v>
      </c>
      <c r="E5" s="1">
        <v>9527538</v>
      </c>
      <c r="F5" s="1">
        <v>6.53</v>
      </c>
      <c r="G5" s="1">
        <v>0</v>
      </c>
      <c r="H5" s="1" t="s">
        <v>16</v>
      </c>
      <c r="I5" s="1">
        <v>2408</v>
      </c>
      <c r="J5" s="1">
        <v>6.68</v>
      </c>
      <c r="K5" s="1">
        <v>0</v>
      </c>
      <c r="L5" s="1" t="s">
        <v>16</v>
      </c>
      <c r="M5" s="1">
        <v>2408</v>
      </c>
      <c r="N5" s="1">
        <f>MIN($B5,$F5,$J5)</f>
        <v>0</v>
      </c>
      <c r="O5" s="1">
        <f>MIN($C5,$G5,$K5)</f>
        <v>0</v>
      </c>
      <c r="P5" s="1">
        <f>MIN($E5,$I5,$M5)</f>
        <v>0</v>
      </c>
      <c r="Q5" s="1">
        <f>MEDIAN($B5,$F5,$J5)</f>
        <v>0</v>
      </c>
      <c r="R5" s="1">
        <f>MEDIAN($C5,$G5,$K5)</f>
        <v>0</v>
      </c>
      <c r="S5" s="1">
        <f>MEDIAN($E5,$I5,$M5)</f>
        <v>0</v>
      </c>
      <c r="T5" s="1">
        <f>MAX($B5,$F5,$J5)</f>
        <v>0</v>
      </c>
      <c r="U5" s="1">
        <f>MAX($C5,$G5,$K5)</f>
        <v>0</v>
      </c>
      <c r="V5" s="1">
        <f>MAX($E5,$I5,$M5)</f>
        <v>0</v>
      </c>
    </row>
    <row r="6" spans="1:22">
      <c r="A6" s="1" t="s">
        <v>3</v>
      </c>
      <c r="B6" s="1">
        <v>187.77</v>
      </c>
      <c r="C6" s="1">
        <v>21.53</v>
      </c>
      <c r="D6" s="1" t="s">
        <v>16</v>
      </c>
      <c r="E6" s="1">
        <v>18694018</v>
      </c>
      <c r="F6" s="1">
        <v>7.14</v>
      </c>
      <c r="G6" s="1">
        <v>0.01</v>
      </c>
      <c r="H6" s="1" t="s">
        <v>16</v>
      </c>
      <c r="I6" s="1">
        <v>2408</v>
      </c>
      <c r="J6" s="1">
        <v>6.65</v>
      </c>
      <c r="K6" s="1">
        <v>0</v>
      </c>
      <c r="L6" s="1" t="s">
        <v>16</v>
      </c>
      <c r="M6" s="1">
        <v>2408</v>
      </c>
      <c r="N6" s="1">
        <f>MIN($B6,$F6,$J6)</f>
        <v>0</v>
      </c>
      <c r="O6" s="1">
        <f>MIN($C6,$G6,$K6)</f>
        <v>0</v>
      </c>
      <c r="P6" s="1">
        <f>MIN($E6,$I6,$M6)</f>
        <v>0</v>
      </c>
      <c r="Q6" s="1">
        <f>MEDIAN($B6,$F6,$J6)</f>
        <v>0</v>
      </c>
      <c r="R6" s="1">
        <f>MEDIAN($C6,$G6,$K6)</f>
        <v>0</v>
      </c>
      <c r="S6" s="1">
        <f>MEDIAN($E6,$I6,$M6)</f>
        <v>0</v>
      </c>
      <c r="T6" s="1">
        <f>MAX($B6,$F6,$J6)</f>
        <v>0</v>
      </c>
      <c r="U6" s="1">
        <f>MAX($C6,$G6,$K6)</f>
        <v>0</v>
      </c>
      <c r="V6" s="1">
        <f>MAX($E6,$I6,$M6)</f>
        <v>0</v>
      </c>
    </row>
    <row r="7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 t="s">
        <v>4</v>
      </c>
      <c r="B8" s="1">
        <f>SUM(B$3:B$6)</f>
        <v>0</v>
      </c>
      <c r="C8" s="1">
        <f>SUM(C$3:C$6)</f>
        <v>0</v>
      </c>
      <c r="D8" s="1"/>
      <c r="E8" s="1">
        <f>SUM(E$3:E$6)</f>
        <v>0</v>
      </c>
      <c r="F8" s="1">
        <f>SUM(F$3:F$6)</f>
        <v>0</v>
      </c>
      <c r="G8" s="1">
        <f>SUM(G$3:G$6)</f>
        <v>0</v>
      </c>
      <c r="H8" s="1"/>
      <c r="I8" s="1">
        <f>SUM(I$3:I$6)</f>
        <v>0</v>
      </c>
      <c r="J8" s="1">
        <f>SUM(J$3:J$6)</f>
        <v>0</v>
      </c>
      <c r="K8" s="1">
        <f>SUM(K$3:K$6)</f>
        <v>0</v>
      </c>
      <c r="L8" s="1"/>
      <c r="M8" s="1">
        <f>SUM(M$3:M$6)</f>
        <v>0</v>
      </c>
      <c r="N8" s="1">
        <f>SUM(N$3:N$6)</f>
        <v>0</v>
      </c>
      <c r="O8" s="1">
        <f>SUM(O$3:O$6)</f>
        <v>0</v>
      </c>
      <c r="P8" s="1">
        <f>SUM(P$3:P$6)</f>
        <v>0</v>
      </c>
      <c r="Q8" s="1">
        <f>SUM(Q$3:Q$6)</f>
        <v>0</v>
      </c>
      <c r="R8" s="1">
        <f>SUM(R$3:R$6)</f>
        <v>0</v>
      </c>
      <c r="S8" s="1">
        <f>SUM(S$3:S$6)</f>
        <v>0</v>
      </c>
      <c r="T8" s="1">
        <f>SUM(T$3:T$6)</f>
        <v>0</v>
      </c>
      <c r="U8" s="1">
        <f>SUM(U$3:U$6)</f>
        <v>0</v>
      </c>
      <c r="V8" s="1">
        <f>SUM(V$3:V$6)</f>
        <v>0</v>
      </c>
    </row>
    <row r="9" spans="1:22">
      <c r="A9" s="1" t="s">
        <v>5</v>
      </c>
      <c r="B9" s="1">
        <f>AVERAGE(B$3:B$6)</f>
        <v>0</v>
      </c>
      <c r="C9" s="1">
        <f>AVERAGE(C$3:C$6)</f>
        <v>0</v>
      </c>
      <c r="D9" s="1"/>
      <c r="E9" s="1">
        <f>AVERAGE(E$3:E$6)</f>
        <v>0</v>
      </c>
      <c r="F9" s="1">
        <f>AVERAGE(F$3:F$6)</f>
        <v>0</v>
      </c>
      <c r="G9" s="1">
        <f>AVERAGE(G$3:G$6)</f>
        <v>0</v>
      </c>
      <c r="H9" s="1"/>
      <c r="I9" s="1">
        <f>AVERAGE(I$3:I$6)</f>
        <v>0</v>
      </c>
      <c r="J9" s="1">
        <f>AVERAGE(J$3:J$6)</f>
        <v>0</v>
      </c>
      <c r="K9" s="1">
        <f>AVERAGE(K$3:K$6)</f>
        <v>0</v>
      </c>
      <c r="L9" s="1"/>
      <c r="M9" s="1">
        <f>AVERAGE(M$3:M$6)</f>
        <v>0</v>
      </c>
      <c r="N9" s="1">
        <f>AVERAGE(N$3:N$6)</f>
        <v>0</v>
      </c>
      <c r="O9" s="1">
        <f>AVERAGE(O$3:O$6)</f>
        <v>0</v>
      </c>
      <c r="P9" s="1">
        <f>AVERAGE(P$3:P$6)</f>
        <v>0</v>
      </c>
      <c r="Q9" s="1">
        <f>AVERAGE(Q$3:Q$6)</f>
        <v>0</v>
      </c>
      <c r="R9" s="1">
        <f>AVERAGE(R$3:R$6)</f>
        <v>0</v>
      </c>
      <c r="S9" s="1">
        <f>AVERAGE(S$3:S$6)</f>
        <v>0</v>
      </c>
      <c r="T9" s="1">
        <f>AVERAGE(T$3:T$6)</f>
        <v>0</v>
      </c>
      <c r="U9" s="1">
        <f>AVERAGE(U$3:U$6)</f>
        <v>0</v>
      </c>
      <c r="V9" s="1">
        <f>AVERAGE(V$3:V$6)</f>
        <v>0</v>
      </c>
    </row>
    <row r="10" spans="1:22">
      <c r="A10" s="1" t="s">
        <v>6</v>
      </c>
      <c r="B10" s="1">
        <f>STDEV(B$3:B$6)</f>
        <v>0</v>
      </c>
      <c r="C10" s="1">
        <f>STDEV(C$3:C$6)</f>
        <v>0</v>
      </c>
      <c r="D10" s="1"/>
      <c r="E10" s="1">
        <f>STDEV(E$3:E$6)</f>
        <v>0</v>
      </c>
      <c r="F10" s="1">
        <f>STDEV(F$3:F$6)</f>
        <v>0</v>
      </c>
      <c r="G10" s="1">
        <f>STDEV(G$3:G$6)</f>
        <v>0</v>
      </c>
      <c r="H10" s="1"/>
      <c r="I10" s="1">
        <f>STDEV(I$3:I$6)</f>
        <v>0</v>
      </c>
      <c r="J10" s="1">
        <f>STDEV(J$3:J$6)</f>
        <v>0</v>
      </c>
      <c r="K10" s="1">
        <f>STDEV(K$3:K$6)</f>
        <v>0</v>
      </c>
      <c r="L10" s="1"/>
      <c r="M10" s="1">
        <f>STDEV(M$3:M$6)</f>
        <v>0</v>
      </c>
      <c r="N10" s="1">
        <f>STDEV(N$3:N$6)</f>
        <v>0</v>
      </c>
      <c r="O10" s="1">
        <f>STDEV(O$3:O$6)</f>
        <v>0</v>
      </c>
      <c r="P10" s="1">
        <f>STDEV(P$3:P$6)</f>
        <v>0</v>
      </c>
      <c r="Q10" s="1">
        <f>STDEV(Q$3:Q$6)</f>
        <v>0</v>
      </c>
      <c r="R10" s="1">
        <f>STDEV(R$3:R$6)</f>
        <v>0</v>
      </c>
      <c r="S10" s="1">
        <f>STDEV(S$3:S$6)</f>
        <v>0</v>
      </c>
      <c r="T10" s="1">
        <f>STDEV(T$3:T$6)</f>
        <v>0</v>
      </c>
      <c r="U10" s="1">
        <f>STDEV(U$3:U$6)</f>
        <v>0</v>
      </c>
      <c r="V10" s="1">
        <f>STDEV(V$3:V$6)</f>
        <v>0</v>
      </c>
    </row>
    <row r="11" spans="1:22">
      <c r="A11" s="1" t="s">
        <v>7</v>
      </c>
      <c r="B11" s="1">
        <f>SUMPRODUCT(--(B$3:B$6-$N$3:$N$6)^2)^0.5</f>
        <v>0</v>
      </c>
      <c r="C11" s="1">
        <f>SUMPRODUCT(--(C$3:C$6-$O$3:$O$6)^2)^0.5</f>
        <v>0</v>
      </c>
      <c r="D11" s="1"/>
      <c r="E11" s="1">
        <f>SUMPRODUCT(--(E$3:E$6-$P$3:$P$6)^2)^0.5</f>
        <v>0</v>
      </c>
      <c r="F11" s="1">
        <f>SUMPRODUCT(--(F$3:F$6-$N$3:$N$6)^2)^0.5</f>
        <v>0</v>
      </c>
      <c r="G11" s="1">
        <f>SUMPRODUCT(--(G$3:G$6-$O$3:$O$6)^2)^0.5</f>
        <v>0</v>
      </c>
      <c r="H11" s="1"/>
      <c r="I11" s="1">
        <f>SUMPRODUCT(--(I$3:I$6-$P$3:$P$6)^2)^0.5</f>
        <v>0</v>
      </c>
      <c r="J11" s="1">
        <f>SUMPRODUCT(--(J$3:J$6-$N$3:$N$6)^2)^0.5</f>
        <v>0</v>
      </c>
      <c r="K11" s="1">
        <f>SUMPRODUCT(--(K$3:K$6-$O$3:$O$6)^2)^0.5</f>
        <v>0</v>
      </c>
      <c r="L11" s="1"/>
      <c r="M11" s="1">
        <f>SUMPRODUCT(--(M$3:M$6-$P$3:$P$6)^2)^0.5</f>
        <v>0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8</v>
      </c>
      <c r="B12" s="1">
        <f>SUMPRODUCT(NOT(ISBLANK(B$3:B$6))*(B$3:B$6=$N$3:$N$6))</f>
        <v>0</v>
      </c>
      <c r="C12" s="1">
        <f>SUMPRODUCT(NOT(ISBLANK(C$3:C$6))*(C$3:C$6=$O$3:$O$6))</f>
        <v>0</v>
      </c>
      <c r="D12" s="1"/>
      <c r="E12" s="1">
        <f>SUMPRODUCT(NOT(ISBLANK(E$3:E$6))*(E$3:E$6=$P$3:$P$6))</f>
        <v>0</v>
      </c>
      <c r="F12" s="1">
        <f>SUMPRODUCT(NOT(ISBLANK(F$3:F$6))*(F$3:F$6=$N$3:$N$6))</f>
        <v>0</v>
      </c>
      <c r="G12" s="1">
        <f>SUMPRODUCT(NOT(ISBLANK(G$3:G$6))*(G$3:G$6=$O$3:$O$6))</f>
        <v>0</v>
      </c>
      <c r="H12" s="1"/>
      <c r="I12" s="1">
        <f>SUMPRODUCT(NOT(ISBLANK(I$3:I$6))*(I$3:I$6=$P$3:$P$6))</f>
        <v>0</v>
      </c>
      <c r="J12" s="1">
        <f>SUMPRODUCT(NOT(ISBLANK(J$3:J$6))*(J$3:J$6=$N$3:$N$6))</f>
        <v>0</v>
      </c>
      <c r="K12" s="1">
        <f>SUMPRODUCT(NOT(ISBLANK(K$3:K$6))*(K$3:K$6=$O$3:$O$6))</f>
        <v>0</v>
      </c>
      <c r="L12" s="1"/>
      <c r="M12" s="1">
        <f>SUMPRODUCT(NOT(ISBLANK(M$3:M$6))*(M$3:M$6=$P$3:$P$6))</f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 t="s">
        <v>9</v>
      </c>
      <c r="B13" s="1">
        <f>SUMPRODUCT(NOT(ISBLANK(B$3:B$6))*(B$3:B$6&lt;$Q$3:$Q$6))</f>
        <v>0</v>
      </c>
      <c r="C13" s="1">
        <f>SUMPRODUCT(NOT(ISBLANK(C$3:C$6))*(C$3:C$6&lt;$R$3:$R$6))</f>
        <v>0</v>
      </c>
      <c r="D13" s="1"/>
      <c r="E13" s="1">
        <f>SUMPRODUCT(NOT(ISBLANK(E$3:E$6))*(E$3:E$6&lt;$S$3:$S$6))</f>
        <v>0</v>
      </c>
      <c r="F13" s="1">
        <f>SUMPRODUCT(NOT(ISBLANK(F$3:F$6))*(F$3:F$6&lt;$Q$3:$Q$6))</f>
        <v>0</v>
      </c>
      <c r="G13" s="1">
        <f>SUMPRODUCT(NOT(ISBLANK(G$3:G$6))*(G$3:G$6&lt;$R$3:$R$6))</f>
        <v>0</v>
      </c>
      <c r="H13" s="1"/>
      <c r="I13" s="1">
        <f>SUMPRODUCT(NOT(ISBLANK(I$3:I$6))*(I$3:I$6&lt;$S$3:$S$6))</f>
        <v>0</v>
      </c>
      <c r="J13" s="1">
        <f>SUMPRODUCT(NOT(ISBLANK(J$3:J$6))*(J$3:J$6&lt;$Q$3:$Q$6))</f>
        <v>0</v>
      </c>
      <c r="K13" s="1">
        <f>SUMPRODUCT(NOT(ISBLANK(K$3:K$6))*(K$3:K$6&lt;$R$3:$R$6))</f>
        <v>0</v>
      </c>
      <c r="L13" s="1"/>
      <c r="M13" s="1">
        <f>SUMPRODUCT(NOT(ISBLANK(M$3:M$6))*(M$3:M$6&lt;$S$3:$S$6))</f>
        <v>0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 t="s">
        <v>10</v>
      </c>
      <c r="B14" s="1">
        <f>SUMPRODUCT((NOT(ISBLANK(B$3:B$6))*(B$3:B$6&gt;$Q$3:$Q$6))+ISBLANK(B$3:B$6))</f>
        <v>0</v>
      </c>
      <c r="C14" s="1">
        <f>SUMPRODUCT((NOT(ISBLANK(C$3:C$6))*(C$3:C$6&gt;$R$3:$R$6))+ISBLANK(C$3:C$6))</f>
        <v>0</v>
      </c>
      <c r="D14" s="1"/>
      <c r="E14" s="1">
        <f>SUMPRODUCT((NOT(ISBLANK(E$3:E$6))*(E$3:E$6&gt;$S$3:$S$6))+ISBLANK(E$3:E$6))</f>
        <v>0</v>
      </c>
      <c r="F14" s="1">
        <f>SUMPRODUCT((NOT(ISBLANK(F$3:F$6))*(F$3:F$6&gt;$Q$3:$Q$6))+ISBLANK(F$3:F$6))</f>
        <v>0</v>
      </c>
      <c r="G14" s="1">
        <f>SUMPRODUCT((NOT(ISBLANK(G$3:G$6))*(G$3:G$6&gt;$R$3:$R$6))+ISBLANK(G$3:G$6))</f>
        <v>0</v>
      </c>
      <c r="H14" s="1"/>
      <c r="I14" s="1">
        <f>SUMPRODUCT((NOT(ISBLANK(I$3:I$6))*(I$3:I$6&gt;$S$3:$S$6))+ISBLANK(I$3:I$6))</f>
        <v>0</v>
      </c>
      <c r="J14" s="1">
        <f>SUMPRODUCT((NOT(ISBLANK(J$3:J$6))*(J$3:J$6&gt;$Q$3:$Q$6))+ISBLANK(J$3:J$6))</f>
        <v>0</v>
      </c>
      <c r="K14" s="1">
        <f>SUMPRODUCT((NOT(ISBLANK(K$3:K$6))*(K$3:K$6&gt;$R$3:$R$6))+ISBLANK(K$3:K$6))</f>
        <v>0</v>
      </c>
      <c r="L14" s="1"/>
      <c r="M14" s="1">
        <f>SUMPRODUCT((NOT(ISBLANK(M$3:M$6))*(M$3:M$6&gt;$S$3:$S$6))+ISBLANK(M$3:M$6))</f>
        <v>0</v>
      </c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 t="s">
        <v>11</v>
      </c>
      <c r="B15" s="1">
        <f>SUMPRODUCT((NOT(ISBLANK(B$3:B$6))*(B$3:B$6=$T$3:$T$6))+ISBLANK(B$3:B$6))</f>
        <v>0</v>
      </c>
      <c r="C15" s="1">
        <f>SUMPRODUCT((NOT(ISBLANK(C$3:C$6))*(C$3:C$6=$U$3:$U$6))+ISBLANK(C$3:C$6))</f>
        <v>0</v>
      </c>
      <c r="D15" s="1"/>
      <c r="E15" s="1">
        <f>SUMPRODUCT((NOT(ISBLANK(E$3:E$6))*(E$3:E$6=$V$3:$V$6))+ISBLANK(E$3:E$6))</f>
        <v>0</v>
      </c>
      <c r="F15" s="1">
        <f>SUMPRODUCT((NOT(ISBLANK(F$3:F$6))*(F$3:F$6=$T$3:$T$6))+ISBLANK(F$3:F$6))</f>
        <v>0</v>
      </c>
      <c r="G15" s="1">
        <f>SUMPRODUCT((NOT(ISBLANK(G$3:G$6))*(G$3:G$6=$U$3:$U$6))+ISBLANK(G$3:G$6))</f>
        <v>0</v>
      </c>
      <c r="H15" s="1"/>
      <c r="I15" s="1">
        <f>SUMPRODUCT((NOT(ISBLANK(I$3:I$6))*(I$3:I$6=$V$3:$V$6))+ISBLANK(I$3:I$6))</f>
        <v>0</v>
      </c>
      <c r="J15" s="1">
        <f>SUMPRODUCT((NOT(ISBLANK(J$3:J$6))*(J$3:J$6=$T$3:$T$6))+ISBLANK(J$3:J$6))</f>
        <v>0</v>
      </c>
      <c r="K15" s="1">
        <f>SUMPRODUCT((NOT(ISBLANK(K$3:K$6))*(K$3:K$6=$U$3:$U$6))+ISBLANK(K$3:K$6))</f>
        <v>0</v>
      </c>
      <c r="L15" s="1"/>
      <c r="M15" s="1">
        <f>SUMPRODUCT((NOT(ISBLANK(M$3:M$6))*(M$3:M$6=$V$3:$V$6))+ISBLANK(M$3:M$6))</f>
        <v>0</v>
      </c>
      <c r="N15" s="1"/>
      <c r="O15" s="1"/>
      <c r="P15" s="1"/>
      <c r="Q15" s="1"/>
      <c r="R15" s="1"/>
      <c r="S15" s="1"/>
      <c r="T15" s="1"/>
      <c r="U15" s="1"/>
      <c r="V1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5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1" width="16.28515625" customWidth="1"/>
    <col min="2" max="22" width="11.42578125" customWidth="1"/>
  </cols>
  <sheetData>
    <row r="1" spans="1:22">
      <c r="A1" s="1" t="s">
        <v>24</v>
      </c>
      <c r="B1" s="1" t="s">
        <v>12</v>
      </c>
      <c r="C1" s="1"/>
      <c r="D1" s="1"/>
      <c r="E1" s="1"/>
      <c r="F1" s="1" t="s">
        <v>19</v>
      </c>
      <c r="G1" s="1"/>
      <c r="H1" s="1"/>
      <c r="I1" s="1"/>
      <c r="J1" s="1" t="s">
        <v>20</v>
      </c>
      <c r="K1" s="1"/>
      <c r="L1" s="1"/>
      <c r="M1" s="1"/>
      <c r="N1" s="1" t="s">
        <v>21</v>
      </c>
      <c r="O1" s="1"/>
      <c r="P1" s="1"/>
      <c r="Q1" s="1" t="s">
        <v>22</v>
      </c>
      <c r="R1" s="1"/>
      <c r="S1" s="1"/>
      <c r="T1" s="1" t="s">
        <v>23</v>
      </c>
      <c r="U1" s="1"/>
      <c r="V1" s="1"/>
    </row>
    <row r="2" spans="1:22">
      <c r="A2" s="2" t="s">
        <v>22</v>
      </c>
      <c r="B2" s="1" t="s">
        <v>13</v>
      </c>
      <c r="C2" s="1" t="s">
        <v>14</v>
      </c>
      <c r="D2" s="1" t="s">
        <v>15</v>
      </c>
      <c r="E2" s="1" t="s">
        <v>18</v>
      </c>
      <c r="F2" s="1" t="s">
        <v>13</v>
      </c>
      <c r="G2" s="1" t="s">
        <v>14</v>
      </c>
      <c r="H2" s="1" t="s">
        <v>15</v>
      </c>
      <c r="I2" s="1" t="s">
        <v>18</v>
      </c>
      <c r="J2" s="1" t="s">
        <v>13</v>
      </c>
      <c r="K2" s="1" t="s">
        <v>14</v>
      </c>
      <c r="L2" s="1" t="s">
        <v>15</v>
      </c>
      <c r="M2" s="1" t="s">
        <v>18</v>
      </c>
      <c r="N2" s="1" t="s">
        <v>13</v>
      </c>
      <c r="O2" s="1" t="s">
        <v>14</v>
      </c>
      <c r="P2" s="1" t="s">
        <v>18</v>
      </c>
      <c r="Q2" s="1" t="s">
        <v>13</v>
      </c>
      <c r="R2" s="1" t="s">
        <v>14</v>
      </c>
      <c r="S2" s="1" t="s">
        <v>18</v>
      </c>
      <c r="T2" s="1" t="s">
        <v>13</v>
      </c>
      <c r="U2" s="1" t="s">
        <v>14</v>
      </c>
      <c r="V2" s="1" t="s">
        <v>18</v>
      </c>
    </row>
    <row r="3" spans="1:22">
      <c r="A3" s="1" t="s">
        <v>0</v>
      </c>
      <c r="B3" s="1" cm="1">
        <f t="array" ref="B3">_xlfn.SWITCH($A$2,"average", AVERAGE(Instances!B3:Instances!B3),"median", MEDIAN(Instances!B3:Instances!B3),"min", MIN(Instances!B3:Instances!B3),"max", MAX(Instances!B3:Instances!B3),"diff", MAX(Instances!B3:Instances!B3)-MIN(Instances!B3:Instances!B3))</f>
        <v>0</v>
      </c>
      <c r="C3" s="1" cm="1">
        <f t="array" ref="C3">_xlfn.SWITCH($A$2,"average", AVERAGE(Instances!C3:Instances!C3),"median", MEDIAN(Instances!C3:Instances!C3),"min", MIN(Instances!C3:Instances!C3),"max", MAX(Instances!C3:Instances!C3),"diff", MAX(Instances!C3:Instances!C3)-MIN(Instances!C3:Instances!C3))</f>
        <v>0</v>
      </c>
      <c r="D3" s="1"/>
      <c r="E3" s="1" cm="1">
        <f t="array" ref="E3">_xlfn.SWITCH($A$2,"average", AVERAGE(Instances!E3:Instances!E3),"median", MEDIAN(Instances!E3:Instances!E3),"min", MIN(Instances!E3:Instances!E3),"max", MAX(Instances!E3:Instances!E3),"diff", MAX(Instances!E3:Instances!E3)-MIN(Instances!E3:Instances!E3))</f>
        <v>0</v>
      </c>
      <c r="F3" s="1" cm="1">
        <f t="array" ref="F3">_xlfn.SWITCH($A$2,"average", AVERAGE(Instances!F3:Instances!F3),"median", MEDIAN(Instances!F3:Instances!F3),"min", MIN(Instances!F3:Instances!F3),"max", MAX(Instances!F3:Instances!F3),"diff", MAX(Instances!F3:Instances!F3)-MIN(Instances!F3:Instances!F3))</f>
        <v>0</v>
      </c>
      <c r="G3" s="1" cm="1">
        <f t="array" ref="G3">_xlfn.SWITCH($A$2,"average", AVERAGE(Instances!G3:Instances!G3),"median", MEDIAN(Instances!G3:Instances!G3),"min", MIN(Instances!G3:Instances!G3),"max", MAX(Instances!G3:Instances!G3),"diff", MAX(Instances!G3:Instances!G3)-MIN(Instances!G3:Instances!G3))</f>
        <v>0</v>
      </c>
      <c r="H3" s="1"/>
      <c r="I3" s="1" cm="1">
        <f t="array" ref="I3">_xlfn.SWITCH($A$2,"average", AVERAGE(Instances!I3:Instances!I3),"median", MEDIAN(Instances!I3:Instances!I3),"min", MIN(Instances!I3:Instances!I3),"max", MAX(Instances!I3:Instances!I3),"diff", MAX(Instances!I3:Instances!I3)-MIN(Instances!I3:Instances!I3))</f>
        <v>0</v>
      </c>
      <c r="J3" s="1" cm="1">
        <f t="array" ref="J3">_xlfn.SWITCH($A$2,"average", AVERAGE(Instances!J3:Instances!J3),"median", MEDIAN(Instances!J3:Instances!J3),"min", MIN(Instances!J3:Instances!J3),"max", MAX(Instances!J3:Instances!J3),"diff", MAX(Instances!J3:Instances!J3)-MIN(Instances!J3:Instances!J3))</f>
        <v>0</v>
      </c>
      <c r="K3" s="1" cm="1">
        <f t="array" ref="K3">_xlfn.SWITCH($A$2,"average", AVERAGE(Instances!K3:Instances!K3),"median", MEDIAN(Instances!K3:Instances!K3),"min", MIN(Instances!K3:Instances!K3),"max", MAX(Instances!K3:Instances!K3),"diff", MAX(Instances!K3:Instances!K3)-MIN(Instances!K3:Instances!K3))</f>
        <v>0</v>
      </c>
      <c r="L3" s="1"/>
      <c r="M3" s="1" cm="1">
        <f t="array" ref="M3">_xlfn.SWITCH($A$2,"average", AVERAGE(Instances!M3:Instances!M3),"median", MEDIAN(Instances!M3:Instances!M3),"min", MIN(Instances!M3:Instances!M3),"max", MAX(Instances!M3:Instances!M3),"diff", MAX(Instances!M3:Instances!M3)-MIN(Instances!M3:Instances!M3))</f>
        <v>0</v>
      </c>
      <c r="N3" s="1">
        <f>MIN($B3,$F3,$J3)</f>
        <v>0</v>
      </c>
      <c r="O3" s="1">
        <f>MIN($C3,$G3,$K3)</f>
        <v>0</v>
      </c>
      <c r="P3" s="1">
        <f>MIN($E3,$I3,$M3)</f>
        <v>0</v>
      </c>
      <c r="Q3" s="1">
        <f>MEDIAN($B3,$F3,$J3)</f>
        <v>0</v>
      </c>
      <c r="R3" s="1">
        <f>MEDIAN($C3,$G3,$K3)</f>
        <v>0</v>
      </c>
      <c r="S3" s="1">
        <f>MEDIAN($E3,$I3,$M3)</f>
        <v>0</v>
      </c>
      <c r="T3" s="1">
        <f>MAX($B3,$F3,$J3)</f>
        <v>0</v>
      </c>
      <c r="U3" s="1">
        <f>MAX($C3,$G3,$K3)</f>
        <v>0</v>
      </c>
      <c r="V3" s="1">
        <f>MAX($E3,$I3,$M3)</f>
        <v>0</v>
      </c>
    </row>
    <row r="4" spans="1:22">
      <c r="A4" s="1" t="s">
        <v>1</v>
      </c>
      <c r="B4" s="1" cm="1">
        <f t="array" ref="B4">_xlfn.SWITCH($A$2,"average", AVERAGE(Instances!B4:Instances!B4),"median", MEDIAN(Instances!B4:Instances!B4),"min", MIN(Instances!B4:Instances!B4),"max", MAX(Instances!B4:Instances!B4),"diff", MAX(Instances!B4:Instances!B4)-MIN(Instances!B4:Instances!B4))</f>
        <v>0</v>
      </c>
      <c r="C4" s="1" cm="1">
        <f t="array" ref="C4">_xlfn.SWITCH($A$2,"average", AVERAGE(Instances!C4:Instances!C4),"median", MEDIAN(Instances!C4:Instances!C4),"min", MIN(Instances!C4:Instances!C4),"max", MAX(Instances!C4:Instances!C4),"diff", MAX(Instances!C4:Instances!C4)-MIN(Instances!C4:Instances!C4))</f>
        <v>0</v>
      </c>
      <c r="D4" s="1"/>
      <c r="E4" s="1" cm="1">
        <f t="array" ref="E4">_xlfn.SWITCH($A$2,"average", AVERAGE(Instances!E4:Instances!E4),"median", MEDIAN(Instances!E4:Instances!E4),"min", MIN(Instances!E4:Instances!E4),"max", MAX(Instances!E4:Instances!E4),"diff", MAX(Instances!E4:Instances!E4)-MIN(Instances!E4:Instances!E4))</f>
        <v>0</v>
      </c>
      <c r="F4" s="1" cm="1">
        <f t="array" ref="F4">_xlfn.SWITCH($A$2,"average", AVERAGE(Instances!F4:Instances!F4),"median", MEDIAN(Instances!F4:Instances!F4),"min", MIN(Instances!F4:Instances!F4),"max", MAX(Instances!F4:Instances!F4),"diff", MAX(Instances!F4:Instances!F4)-MIN(Instances!F4:Instances!F4))</f>
        <v>0</v>
      </c>
      <c r="G4" s="1" cm="1">
        <f t="array" ref="G4">_xlfn.SWITCH($A$2,"average", AVERAGE(Instances!G4:Instances!G4),"median", MEDIAN(Instances!G4:Instances!G4),"min", MIN(Instances!G4:Instances!G4),"max", MAX(Instances!G4:Instances!G4),"diff", MAX(Instances!G4:Instances!G4)-MIN(Instances!G4:Instances!G4))</f>
        <v>0</v>
      </c>
      <c r="H4" s="1"/>
      <c r="I4" s="1" cm="1">
        <f t="array" ref="I4">_xlfn.SWITCH($A$2,"average", AVERAGE(Instances!I4:Instances!I4),"median", MEDIAN(Instances!I4:Instances!I4),"min", MIN(Instances!I4:Instances!I4),"max", MAX(Instances!I4:Instances!I4),"diff", MAX(Instances!I4:Instances!I4)-MIN(Instances!I4:Instances!I4))</f>
        <v>0</v>
      </c>
      <c r="J4" s="1" cm="1">
        <f t="array" ref="J4">_xlfn.SWITCH($A$2,"average", AVERAGE(Instances!J4:Instances!J4),"median", MEDIAN(Instances!J4:Instances!J4),"min", MIN(Instances!J4:Instances!J4),"max", MAX(Instances!J4:Instances!J4),"diff", MAX(Instances!J4:Instances!J4)-MIN(Instances!J4:Instances!J4))</f>
        <v>0</v>
      </c>
      <c r="K4" s="1" cm="1">
        <f t="array" ref="K4">_xlfn.SWITCH($A$2,"average", AVERAGE(Instances!K4:Instances!K4),"median", MEDIAN(Instances!K4:Instances!K4),"min", MIN(Instances!K4:Instances!K4),"max", MAX(Instances!K4:Instances!K4),"diff", MAX(Instances!K4:Instances!K4)-MIN(Instances!K4:Instances!K4))</f>
        <v>0</v>
      </c>
      <c r="L4" s="1"/>
      <c r="M4" s="1" cm="1">
        <f t="array" ref="M4">_xlfn.SWITCH($A$2,"average", AVERAGE(Instances!M4:Instances!M4),"median", MEDIAN(Instances!M4:Instances!M4),"min", MIN(Instances!M4:Instances!M4),"max", MAX(Instances!M4:Instances!M4),"diff", MAX(Instances!M4:Instances!M4)-MIN(Instances!M4:Instances!M4))</f>
        <v>0</v>
      </c>
      <c r="N4" s="1">
        <f>MIN($B4,$F4,$J4)</f>
        <v>0</v>
      </c>
      <c r="O4" s="1">
        <f>MIN($C4,$G4,$K4)</f>
        <v>0</v>
      </c>
      <c r="P4" s="1">
        <f>MIN($E4,$I4,$M4)</f>
        <v>0</v>
      </c>
      <c r="Q4" s="1">
        <f>MEDIAN($B4,$F4,$J4)</f>
        <v>0</v>
      </c>
      <c r="R4" s="1">
        <f>MEDIAN($C4,$G4,$K4)</f>
        <v>0</v>
      </c>
      <c r="S4" s="1">
        <f>MEDIAN($E4,$I4,$M4)</f>
        <v>0</v>
      </c>
      <c r="T4" s="1">
        <f>MAX($B4,$F4,$J4)</f>
        <v>0</v>
      </c>
      <c r="U4" s="1">
        <f>MAX($C4,$G4,$K4)</f>
        <v>0</v>
      </c>
      <c r="V4" s="1">
        <f>MAX($E4,$I4,$M4)</f>
        <v>0</v>
      </c>
    </row>
    <row r="5" spans="1:22">
      <c r="A5" s="1" t="s">
        <v>2</v>
      </c>
      <c r="B5" s="1" cm="1">
        <f t="array" ref="B5">_xlfn.SWITCH($A$2,"average", AVERAGE(Instances!B5:Instances!B5),"median", MEDIAN(Instances!B5:Instances!B5),"min", MIN(Instances!B5:Instances!B5),"max", MAX(Instances!B5:Instances!B5),"diff", MAX(Instances!B5:Instances!B5)-MIN(Instances!B5:Instances!B5))</f>
        <v>0</v>
      </c>
      <c r="C5" s="1" cm="1">
        <f t="array" ref="C5">_xlfn.SWITCH($A$2,"average", AVERAGE(Instances!C5:Instances!C5),"median", MEDIAN(Instances!C5:Instances!C5),"min", MIN(Instances!C5:Instances!C5),"max", MAX(Instances!C5:Instances!C5),"diff", MAX(Instances!C5:Instances!C5)-MIN(Instances!C5:Instances!C5))</f>
        <v>0</v>
      </c>
      <c r="D5" s="1"/>
      <c r="E5" s="1" cm="1">
        <f t="array" ref="E5">_xlfn.SWITCH($A$2,"average", AVERAGE(Instances!E5:Instances!E5),"median", MEDIAN(Instances!E5:Instances!E5),"min", MIN(Instances!E5:Instances!E5),"max", MAX(Instances!E5:Instances!E5),"diff", MAX(Instances!E5:Instances!E5)-MIN(Instances!E5:Instances!E5))</f>
        <v>0</v>
      </c>
      <c r="F5" s="1" cm="1">
        <f t="array" ref="F5">_xlfn.SWITCH($A$2,"average", AVERAGE(Instances!F5:Instances!F5),"median", MEDIAN(Instances!F5:Instances!F5),"min", MIN(Instances!F5:Instances!F5),"max", MAX(Instances!F5:Instances!F5),"diff", MAX(Instances!F5:Instances!F5)-MIN(Instances!F5:Instances!F5))</f>
        <v>0</v>
      </c>
      <c r="G5" s="1" cm="1">
        <f t="array" ref="G5">_xlfn.SWITCH($A$2,"average", AVERAGE(Instances!G5:Instances!G5),"median", MEDIAN(Instances!G5:Instances!G5),"min", MIN(Instances!G5:Instances!G5),"max", MAX(Instances!G5:Instances!G5),"diff", MAX(Instances!G5:Instances!G5)-MIN(Instances!G5:Instances!G5))</f>
        <v>0</v>
      </c>
      <c r="H5" s="1"/>
      <c r="I5" s="1" cm="1">
        <f t="array" ref="I5">_xlfn.SWITCH($A$2,"average", AVERAGE(Instances!I5:Instances!I5),"median", MEDIAN(Instances!I5:Instances!I5),"min", MIN(Instances!I5:Instances!I5),"max", MAX(Instances!I5:Instances!I5),"diff", MAX(Instances!I5:Instances!I5)-MIN(Instances!I5:Instances!I5))</f>
        <v>0</v>
      </c>
      <c r="J5" s="1" cm="1">
        <f t="array" ref="J5">_xlfn.SWITCH($A$2,"average", AVERAGE(Instances!J5:Instances!J5),"median", MEDIAN(Instances!J5:Instances!J5),"min", MIN(Instances!J5:Instances!J5),"max", MAX(Instances!J5:Instances!J5),"diff", MAX(Instances!J5:Instances!J5)-MIN(Instances!J5:Instances!J5))</f>
        <v>0</v>
      </c>
      <c r="K5" s="1" cm="1">
        <f t="array" ref="K5">_xlfn.SWITCH($A$2,"average", AVERAGE(Instances!K5:Instances!K5),"median", MEDIAN(Instances!K5:Instances!K5),"min", MIN(Instances!K5:Instances!K5),"max", MAX(Instances!K5:Instances!K5),"diff", MAX(Instances!K5:Instances!K5)-MIN(Instances!K5:Instances!K5))</f>
        <v>0</v>
      </c>
      <c r="L5" s="1"/>
      <c r="M5" s="1" cm="1">
        <f t="array" ref="M5">_xlfn.SWITCH($A$2,"average", AVERAGE(Instances!M5:Instances!M5),"median", MEDIAN(Instances!M5:Instances!M5),"min", MIN(Instances!M5:Instances!M5),"max", MAX(Instances!M5:Instances!M5),"diff", MAX(Instances!M5:Instances!M5)-MIN(Instances!M5:Instances!M5))</f>
        <v>0</v>
      </c>
      <c r="N5" s="1">
        <f>MIN($B5,$F5,$J5)</f>
        <v>0</v>
      </c>
      <c r="O5" s="1">
        <f>MIN($C5,$G5,$K5)</f>
        <v>0</v>
      </c>
      <c r="P5" s="1">
        <f>MIN($E5,$I5,$M5)</f>
        <v>0</v>
      </c>
      <c r="Q5" s="1">
        <f>MEDIAN($B5,$F5,$J5)</f>
        <v>0</v>
      </c>
      <c r="R5" s="1">
        <f>MEDIAN($C5,$G5,$K5)</f>
        <v>0</v>
      </c>
      <c r="S5" s="1">
        <f>MEDIAN($E5,$I5,$M5)</f>
        <v>0</v>
      </c>
      <c r="T5" s="1">
        <f>MAX($B5,$F5,$J5)</f>
        <v>0</v>
      </c>
      <c r="U5" s="1">
        <f>MAX($C5,$G5,$K5)</f>
        <v>0</v>
      </c>
      <c r="V5" s="1">
        <f>MAX($E5,$I5,$M5)</f>
        <v>0</v>
      </c>
    </row>
    <row r="6" spans="1:22">
      <c r="A6" s="1" t="s">
        <v>3</v>
      </c>
      <c r="B6" s="1" cm="1">
        <f t="array" ref="B6">_xlfn.SWITCH($A$2,"average", AVERAGE(Instances!B6:Instances!B6),"median", MEDIAN(Instances!B6:Instances!B6),"min", MIN(Instances!B6:Instances!B6),"max", MAX(Instances!B6:Instances!B6),"diff", MAX(Instances!B6:Instances!B6)-MIN(Instances!B6:Instances!B6))</f>
        <v>0</v>
      </c>
      <c r="C6" s="1" cm="1">
        <f t="array" ref="C6">_xlfn.SWITCH($A$2,"average", AVERAGE(Instances!C6:Instances!C6),"median", MEDIAN(Instances!C6:Instances!C6),"min", MIN(Instances!C6:Instances!C6),"max", MAX(Instances!C6:Instances!C6),"diff", MAX(Instances!C6:Instances!C6)-MIN(Instances!C6:Instances!C6))</f>
        <v>0</v>
      </c>
      <c r="D6" s="1"/>
      <c r="E6" s="1" cm="1">
        <f t="array" ref="E6">_xlfn.SWITCH($A$2,"average", AVERAGE(Instances!E6:Instances!E6),"median", MEDIAN(Instances!E6:Instances!E6),"min", MIN(Instances!E6:Instances!E6),"max", MAX(Instances!E6:Instances!E6),"diff", MAX(Instances!E6:Instances!E6)-MIN(Instances!E6:Instances!E6))</f>
        <v>0</v>
      </c>
      <c r="F6" s="1" cm="1">
        <f t="array" ref="F6">_xlfn.SWITCH($A$2,"average", AVERAGE(Instances!F6:Instances!F6),"median", MEDIAN(Instances!F6:Instances!F6),"min", MIN(Instances!F6:Instances!F6),"max", MAX(Instances!F6:Instances!F6),"diff", MAX(Instances!F6:Instances!F6)-MIN(Instances!F6:Instances!F6))</f>
        <v>0</v>
      </c>
      <c r="G6" s="1" cm="1">
        <f t="array" ref="G6">_xlfn.SWITCH($A$2,"average", AVERAGE(Instances!G6:Instances!G6),"median", MEDIAN(Instances!G6:Instances!G6),"min", MIN(Instances!G6:Instances!G6),"max", MAX(Instances!G6:Instances!G6),"diff", MAX(Instances!G6:Instances!G6)-MIN(Instances!G6:Instances!G6))</f>
        <v>0</v>
      </c>
      <c r="H6" s="1"/>
      <c r="I6" s="1" cm="1">
        <f t="array" ref="I6">_xlfn.SWITCH($A$2,"average", AVERAGE(Instances!I6:Instances!I6),"median", MEDIAN(Instances!I6:Instances!I6),"min", MIN(Instances!I6:Instances!I6),"max", MAX(Instances!I6:Instances!I6),"diff", MAX(Instances!I6:Instances!I6)-MIN(Instances!I6:Instances!I6))</f>
        <v>0</v>
      </c>
      <c r="J6" s="1" cm="1">
        <f t="array" ref="J6">_xlfn.SWITCH($A$2,"average", AVERAGE(Instances!J6:Instances!J6),"median", MEDIAN(Instances!J6:Instances!J6),"min", MIN(Instances!J6:Instances!J6),"max", MAX(Instances!J6:Instances!J6),"diff", MAX(Instances!J6:Instances!J6)-MIN(Instances!J6:Instances!J6))</f>
        <v>0</v>
      </c>
      <c r="K6" s="1" cm="1">
        <f t="array" ref="K6">_xlfn.SWITCH($A$2,"average", AVERAGE(Instances!K6:Instances!K6),"median", MEDIAN(Instances!K6:Instances!K6),"min", MIN(Instances!K6:Instances!K6),"max", MAX(Instances!K6:Instances!K6),"diff", MAX(Instances!K6:Instances!K6)-MIN(Instances!K6:Instances!K6))</f>
        <v>0</v>
      </c>
      <c r="L6" s="1"/>
      <c r="M6" s="1" cm="1">
        <f t="array" ref="M6">_xlfn.SWITCH($A$2,"average", AVERAGE(Instances!M6:Instances!M6),"median", MEDIAN(Instances!M6:Instances!M6),"min", MIN(Instances!M6:Instances!M6),"max", MAX(Instances!M6:Instances!M6),"diff", MAX(Instances!M6:Instances!M6)-MIN(Instances!M6:Instances!M6))</f>
        <v>0</v>
      </c>
      <c r="N6" s="1">
        <f>MIN($B6,$F6,$J6)</f>
        <v>0</v>
      </c>
      <c r="O6" s="1">
        <f>MIN($C6,$G6,$K6)</f>
        <v>0</v>
      </c>
      <c r="P6" s="1">
        <f>MIN($E6,$I6,$M6)</f>
        <v>0</v>
      </c>
      <c r="Q6" s="1">
        <f>MEDIAN($B6,$F6,$J6)</f>
        <v>0</v>
      </c>
      <c r="R6" s="1">
        <f>MEDIAN($C6,$G6,$K6)</f>
        <v>0</v>
      </c>
      <c r="S6" s="1">
        <f>MEDIAN($E6,$I6,$M6)</f>
        <v>0</v>
      </c>
      <c r="T6" s="1">
        <f>MAX($B6,$F6,$J6)</f>
        <v>0</v>
      </c>
      <c r="U6" s="1">
        <f>MAX($C6,$G6,$K6)</f>
        <v>0</v>
      </c>
      <c r="V6" s="1">
        <f>MAX($E6,$I6,$M6)</f>
        <v>0</v>
      </c>
    </row>
    <row r="7" spans="1:2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>
      <c r="A8" s="1" t="s">
        <v>4</v>
      </c>
      <c r="B8" s="1">
        <f>SUM(B$3:B$6)</f>
        <v>0</v>
      </c>
      <c r="C8" s="1">
        <f>SUM(C$3:C$6)</f>
        <v>0</v>
      </c>
      <c r="D8" s="1"/>
      <c r="E8" s="1">
        <f>SUM(E$3:E$6)</f>
        <v>0</v>
      </c>
      <c r="F8" s="1">
        <f>SUM(F$3:F$6)</f>
        <v>0</v>
      </c>
      <c r="G8" s="1">
        <f>SUM(G$3:G$6)</f>
        <v>0</v>
      </c>
      <c r="H8" s="1"/>
      <c r="I8" s="1">
        <f>SUM(I$3:I$6)</f>
        <v>0</v>
      </c>
      <c r="J8" s="1">
        <f>SUM(J$3:J$6)</f>
        <v>0</v>
      </c>
      <c r="K8" s="1">
        <f>SUM(K$3:K$6)</f>
        <v>0</v>
      </c>
      <c r="L8" s="1"/>
      <c r="M8" s="1">
        <f>SUM(M$3:M$6)</f>
        <v>0</v>
      </c>
      <c r="N8" s="1">
        <f>SUM(N$3:N$6)</f>
        <v>0</v>
      </c>
      <c r="O8" s="1">
        <f>SUM(O$3:O$6)</f>
        <v>0</v>
      </c>
      <c r="P8" s="1">
        <f>SUM(P$3:P$6)</f>
        <v>0</v>
      </c>
      <c r="Q8" s="1">
        <f>SUM(Q$3:Q$6)</f>
        <v>0</v>
      </c>
      <c r="R8" s="1">
        <f>SUM(R$3:R$6)</f>
        <v>0</v>
      </c>
      <c r="S8" s="1">
        <f>SUM(S$3:S$6)</f>
        <v>0</v>
      </c>
      <c r="T8" s="1">
        <f>SUM(T$3:T$6)</f>
        <v>0</v>
      </c>
      <c r="U8" s="1">
        <f>SUM(U$3:U$6)</f>
        <v>0</v>
      </c>
      <c r="V8" s="1">
        <f>SUM(V$3:V$6)</f>
        <v>0</v>
      </c>
    </row>
    <row r="9" spans="1:22">
      <c r="A9" s="1" t="s">
        <v>5</v>
      </c>
      <c r="B9" s="1">
        <f>AVERAGE(B$3:B$6)</f>
        <v>0</v>
      </c>
      <c r="C9" s="1">
        <f>AVERAGE(C$3:C$6)</f>
        <v>0</v>
      </c>
      <c r="D9" s="1"/>
      <c r="E9" s="1">
        <f>AVERAGE(E$3:E$6)</f>
        <v>0</v>
      </c>
      <c r="F9" s="1">
        <f>AVERAGE(F$3:F$6)</f>
        <v>0</v>
      </c>
      <c r="G9" s="1">
        <f>AVERAGE(G$3:G$6)</f>
        <v>0</v>
      </c>
      <c r="H9" s="1"/>
      <c r="I9" s="1">
        <f>AVERAGE(I$3:I$6)</f>
        <v>0</v>
      </c>
      <c r="J9" s="1">
        <f>AVERAGE(J$3:J$6)</f>
        <v>0</v>
      </c>
      <c r="K9" s="1">
        <f>AVERAGE(K$3:K$6)</f>
        <v>0</v>
      </c>
      <c r="L9" s="1"/>
      <c r="M9" s="1">
        <f>AVERAGE(M$3:M$6)</f>
        <v>0</v>
      </c>
      <c r="N9" s="1">
        <f>AVERAGE(N$3:N$6)</f>
        <v>0</v>
      </c>
      <c r="O9" s="1">
        <f>AVERAGE(O$3:O$6)</f>
        <v>0</v>
      </c>
      <c r="P9" s="1">
        <f>AVERAGE(P$3:P$6)</f>
        <v>0</v>
      </c>
      <c r="Q9" s="1">
        <f>AVERAGE(Q$3:Q$6)</f>
        <v>0</v>
      </c>
      <c r="R9" s="1">
        <f>AVERAGE(R$3:R$6)</f>
        <v>0</v>
      </c>
      <c r="S9" s="1">
        <f>AVERAGE(S$3:S$6)</f>
        <v>0</v>
      </c>
      <c r="T9" s="1">
        <f>AVERAGE(T$3:T$6)</f>
        <v>0</v>
      </c>
      <c r="U9" s="1">
        <f>AVERAGE(U$3:U$6)</f>
        <v>0</v>
      </c>
      <c r="V9" s="1">
        <f>AVERAGE(V$3:V$6)</f>
        <v>0</v>
      </c>
    </row>
    <row r="10" spans="1:22">
      <c r="A10" s="1" t="s">
        <v>6</v>
      </c>
      <c r="B10" s="1">
        <f>STDEV(B$3:B$6)</f>
        <v>0</v>
      </c>
      <c r="C10" s="1">
        <f>STDEV(C$3:C$6)</f>
        <v>0</v>
      </c>
      <c r="D10" s="1"/>
      <c r="E10" s="1">
        <f>STDEV(E$3:E$6)</f>
        <v>0</v>
      </c>
      <c r="F10" s="1">
        <f>STDEV(F$3:F$6)</f>
        <v>0</v>
      </c>
      <c r="G10" s="1">
        <f>STDEV(G$3:G$6)</f>
        <v>0</v>
      </c>
      <c r="H10" s="1"/>
      <c r="I10" s="1">
        <f>STDEV(I$3:I$6)</f>
        <v>0</v>
      </c>
      <c r="J10" s="1">
        <f>STDEV(J$3:J$6)</f>
        <v>0</v>
      </c>
      <c r="K10" s="1">
        <f>STDEV(K$3:K$6)</f>
        <v>0</v>
      </c>
      <c r="L10" s="1"/>
      <c r="M10" s="1">
        <f>STDEV(M$3:M$6)</f>
        <v>0</v>
      </c>
      <c r="N10" s="1">
        <f>STDEV(N$3:N$6)</f>
        <v>0</v>
      </c>
      <c r="O10" s="1">
        <f>STDEV(O$3:O$6)</f>
        <v>0</v>
      </c>
      <c r="P10" s="1">
        <f>STDEV(P$3:P$6)</f>
        <v>0</v>
      </c>
      <c r="Q10" s="1">
        <f>STDEV(Q$3:Q$6)</f>
        <v>0</v>
      </c>
      <c r="R10" s="1">
        <f>STDEV(R$3:R$6)</f>
        <v>0</v>
      </c>
      <c r="S10" s="1">
        <f>STDEV(S$3:S$6)</f>
        <v>0</v>
      </c>
      <c r="T10" s="1">
        <f>STDEV(T$3:T$6)</f>
        <v>0</v>
      </c>
      <c r="U10" s="1">
        <f>STDEV(U$3:U$6)</f>
        <v>0</v>
      </c>
      <c r="V10" s="1">
        <f>STDEV(V$3:V$6)</f>
        <v>0</v>
      </c>
    </row>
    <row r="11" spans="1:22">
      <c r="A11" s="1" t="s">
        <v>7</v>
      </c>
      <c r="B11" s="1">
        <f>SUMPRODUCT(--(B$3:B$6-$N$3:$N$6)^2)^0.5</f>
        <v>0</v>
      </c>
      <c r="C11" s="1">
        <f>SUMPRODUCT(--(C$3:C$6-$O$3:$O$6)^2)^0.5</f>
        <v>0</v>
      </c>
      <c r="D11" s="1"/>
      <c r="E11" s="1">
        <f>SUMPRODUCT(--(E$3:E$6-$P$3:$P$6)^2)^0.5</f>
        <v>0</v>
      </c>
      <c r="F11" s="1">
        <f>SUMPRODUCT(--(F$3:F$6-$N$3:$N$6)^2)^0.5</f>
        <v>0</v>
      </c>
      <c r="G11" s="1">
        <f>SUMPRODUCT(--(G$3:G$6-$O$3:$O$6)^2)^0.5</f>
        <v>0</v>
      </c>
      <c r="H11" s="1"/>
      <c r="I11" s="1">
        <f>SUMPRODUCT(--(I$3:I$6-$P$3:$P$6)^2)^0.5</f>
        <v>0</v>
      </c>
      <c r="J11" s="1">
        <f>SUMPRODUCT(--(J$3:J$6-$N$3:$N$6)^2)^0.5</f>
        <v>0</v>
      </c>
      <c r="K11" s="1">
        <f>SUMPRODUCT(--(K$3:K$6-$O$3:$O$6)^2)^0.5</f>
        <v>0</v>
      </c>
      <c r="L11" s="1"/>
      <c r="M11" s="1">
        <f>SUMPRODUCT(--(M$3:M$6-$P$3:$P$6)^2)^0.5</f>
        <v>0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8</v>
      </c>
      <c r="B12" s="1">
        <f>SUMPRODUCT(NOT(ISBLANK(B$3:B$6))*(B$3:B$6=$N$3:$N$6))</f>
        <v>0</v>
      </c>
      <c r="C12" s="1">
        <f>SUMPRODUCT(NOT(ISBLANK(C$3:C$6))*(C$3:C$6=$O$3:$O$6))</f>
        <v>0</v>
      </c>
      <c r="D12" s="1"/>
      <c r="E12" s="1">
        <f>SUMPRODUCT(NOT(ISBLANK(E$3:E$6))*(E$3:E$6=$P$3:$P$6))</f>
        <v>0</v>
      </c>
      <c r="F12" s="1">
        <f>SUMPRODUCT(NOT(ISBLANK(F$3:F$6))*(F$3:F$6=$N$3:$N$6))</f>
        <v>0</v>
      </c>
      <c r="G12" s="1">
        <f>SUMPRODUCT(NOT(ISBLANK(G$3:G$6))*(G$3:G$6=$O$3:$O$6))</f>
        <v>0</v>
      </c>
      <c r="H12" s="1"/>
      <c r="I12" s="1">
        <f>SUMPRODUCT(NOT(ISBLANK(I$3:I$6))*(I$3:I$6=$P$3:$P$6))</f>
        <v>0</v>
      </c>
      <c r="J12" s="1">
        <f>SUMPRODUCT(NOT(ISBLANK(J$3:J$6))*(J$3:J$6=$N$3:$N$6))</f>
        <v>0</v>
      </c>
      <c r="K12" s="1">
        <f>SUMPRODUCT(NOT(ISBLANK(K$3:K$6))*(K$3:K$6=$O$3:$O$6))</f>
        <v>0</v>
      </c>
      <c r="L12" s="1"/>
      <c r="M12" s="1">
        <f>SUMPRODUCT(NOT(ISBLANK(M$3:M$6))*(M$3:M$6=$P$3:$P$6))</f>
        <v>0</v>
      </c>
      <c r="N12" s="1"/>
      <c r="O12" s="1"/>
      <c r="P12" s="1"/>
      <c r="Q12" s="1"/>
      <c r="R12" s="1"/>
      <c r="S12" s="1"/>
      <c r="T12" s="1"/>
      <c r="U12" s="1"/>
      <c r="V12" s="1"/>
    </row>
    <row r="13" spans="1:22">
      <c r="A13" s="1" t="s">
        <v>9</v>
      </c>
      <c r="B13" s="1">
        <f>SUMPRODUCT(NOT(ISBLANK(B$3:B$6))*(B$3:B$6&lt;$Q$3:$Q$6))</f>
        <v>0</v>
      </c>
      <c r="C13" s="1">
        <f>SUMPRODUCT(NOT(ISBLANK(C$3:C$6))*(C$3:C$6&lt;$R$3:$R$6))</f>
        <v>0</v>
      </c>
      <c r="D13" s="1"/>
      <c r="E13" s="1">
        <f>SUMPRODUCT(NOT(ISBLANK(E$3:E$6))*(E$3:E$6&lt;$S$3:$S$6))</f>
        <v>0</v>
      </c>
      <c r="F13" s="1">
        <f>SUMPRODUCT(NOT(ISBLANK(F$3:F$6))*(F$3:F$6&lt;$Q$3:$Q$6))</f>
        <v>0</v>
      </c>
      <c r="G13" s="1">
        <f>SUMPRODUCT(NOT(ISBLANK(G$3:G$6))*(G$3:G$6&lt;$R$3:$R$6))</f>
        <v>0</v>
      </c>
      <c r="H13" s="1"/>
      <c r="I13" s="1">
        <f>SUMPRODUCT(NOT(ISBLANK(I$3:I$6))*(I$3:I$6&lt;$S$3:$S$6))</f>
        <v>0</v>
      </c>
      <c r="J13" s="1">
        <f>SUMPRODUCT(NOT(ISBLANK(J$3:J$6))*(J$3:J$6&lt;$Q$3:$Q$6))</f>
        <v>0</v>
      </c>
      <c r="K13" s="1">
        <f>SUMPRODUCT(NOT(ISBLANK(K$3:K$6))*(K$3:K$6&lt;$R$3:$R$6))</f>
        <v>0</v>
      </c>
      <c r="L13" s="1"/>
      <c r="M13" s="1">
        <f>SUMPRODUCT(NOT(ISBLANK(M$3:M$6))*(M$3:M$6&lt;$S$3:$S$6))</f>
        <v>0</v>
      </c>
      <c r="N13" s="1"/>
      <c r="O13" s="1"/>
      <c r="P13" s="1"/>
      <c r="Q13" s="1"/>
      <c r="R13" s="1"/>
      <c r="S13" s="1"/>
      <c r="T13" s="1"/>
      <c r="U13" s="1"/>
      <c r="V13" s="1"/>
    </row>
    <row r="14" spans="1:22">
      <c r="A14" s="1" t="s">
        <v>10</v>
      </c>
      <c r="B14" s="1">
        <f>SUMPRODUCT((NOT(ISBLANK(B$3:B$6))*(B$3:B$6&gt;$Q$3:$Q$6))+ISBLANK(B$3:B$6))</f>
        <v>0</v>
      </c>
      <c r="C14" s="1">
        <f>SUMPRODUCT((NOT(ISBLANK(C$3:C$6))*(C$3:C$6&gt;$R$3:$R$6))+ISBLANK(C$3:C$6))</f>
        <v>0</v>
      </c>
      <c r="D14" s="1"/>
      <c r="E14" s="1">
        <f>SUMPRODUCT((NOT(ISBLANK(E$3:E$6))*(E$3:E$6&gt;$S$3:$S$6))+ISBLANK(E$3:E$6))</f>
        <v>0</v>
      </c>
      <c r="F14" s="1">
        <f>SUMPRODUCT((NOT(ISBLANK(F$3:F$6))*(F$3:F$6&gt;$Q$3:$Q$6))+ISBLANK(F$3:F$6))</f>
        <v>0</v>
      </c>
      <c r="G14" s="1">
        <f>SUMPRODUCT((NOT(ISBLANK(G$3:G$6))*(G$3:G$6&gt;$R$3:$R$6))+ISBLANK(G$3:G$6))</f>
        <v>0</v>
      </c>
      <c r="H14" s="1"/>
      <c r="I14" s="1">
        <f>SUMPRODUCT((NOT(ISBLANK(I$3:I$6))*(I$3:I$6&gt;$S$3:$S$6))+ISBLANK(I$3:I$6))</f>
        <v>0</v>
      </c>
      <c r="J14" s="1">
        <f>SUMPRODUCT((NOT(ISBLANK(J$3:J$6))*(J$3:J$6&gt;$Q$3:$Q$6))+ISBLANK(J$3:J$6))</f>
        <v>0</v>
      </c>
      <c r="K14" s="1">
        <f>SUMPRODUCT((NOT(ISBLANK(K$3:K$6))*(K$3:K$6&gt;$R$3:$R$6))+ISBLANK(K$3:K$6))</f>
        <v>0</v>
      </c>
      <c r="L14" s="1"/>
      <c r="M14" s="1">
        <f>SUMPRODUCT((NOT(ISBLANK(M$3:M$6))*(M$3:M$6&gt;$S$3:$S$6))+ISBLANK(M$3:M$6))</f>
        <v>0</v>
      </c>
      <c r="N14" s="1"/>
      <c r="O14" s="1"/>
      <c r="P14" s="1"/>
      <c r="Q14" s="1"/>
      <c r="R14" s="1"/>
      <c r="S14" s="1"/>
      <c r="T14" s="1"/>
      <c r="U14" s="1"/>
      <c r="V14" s="1"/>
    </row>
    <row r="15" spans="1:22">
      <c r="A15" s="1" t="s">
        <v>11</v>
      </c>
      <c r="B15" s="1">
        <f>SUMPRODUCT((NOT(ISBLANK(B$3:B$6))*(B$3:B$6=$T$3:$T$6))+ISBLANK(B$3:B$6))</f>
        <v>0</v>
      </c>
      <c r="C15" s="1">
        <f>SUMPRODUCT((NOT(ISBLANK(C$3:C$6))*(C$3:C$6=$U$3:$U$6))+ISBLANK(C$3:C$6))</f>
        <v>0</v>
      </c>
      <c r="D15" s="1"/>
      <c r="E15" s="1">
        <f>SUMPRODUCT((NOT(ISBLANK(E$3:E$6))*(E$3:E$6=$V$3:$V$6))+ISBLANK(E$3:E$6))</f>
        <v>0</v>
      </c>
      <c r="F15" s="1">
        <f>SUMPRODUCT((NOT(ISBLANK(F$3:F$6))*(F$3:F$6=$T$3:$T$6))+ISBLANK(F$3:F$6))</f>
        <v>0</v>
      </c>
      <c r="G15" s="1">
        <f>SUMPRODUCT((NOT(ISBLANK(G$3:G$6))*(G$3:G$6=$U$3:$U$6))+ISBLANK(G$3:G$6))</f>
        <v>0</v>
      </c>
      <c r="H15" s="1"/>
      <c r="I15" s="1">
        <f>SUMPRODUCT((NOT(ISBLANK(I$3:I$6))*(I$3:I$6=$V$3:$V$6))+ISBLANK(I$3:I$6))</f>
        <v>0</v>
      </c>
      <c r="J15" s="1">
        <f>SUMPRODUCT((NOT(ISBLANK(J$3:J$6))*(J$3:J$6=$T$3:$T$6))+ISBLANK(J$3:J$6))</f>
        <v>0</v>
      </c>
      <c r="K15" s="1">
        <f>SUMPRODUCT((NOT(ISBLANK(K$3:K$6))*(K$3:K$6=$U$3:$U$6))+ISBLANK(K$3:K$6))</f>
        <v>0</v>
      </c>
      <c r="L15" s="1"/>
      <c r="M15" s="1">
        <f>SUMPRODUCT((NOT(ISBLANK(M$3:M$6))*(M$3:M$6=$V$3:$V$6))+ISBLANK(M$3:M$6))</f>
        <v>0</v>
      </c>
      <c r="N15" s="1"/>
      <c r="O15" s="1"/>
      <c r="P15" s="1"/>
      <c r="Q15" s="1"/>
      <c r="R15" s="1"/>
      <c r="S15" s="1"/>
      <c r="T15" s="1"/>
      <c r="U15" s="1"/>
      <c r="V15" s="1"/>
    </row>
  </sheetData>
  <dataValidations count="1">
    <dataValidation type="list" allowBlank="1" showInputMessage="1" showErrorMessage="1" prompt="Select merge criteria" sqref="A2">
      <formula1>"average,median,min,max,diff"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cols>
    <col min="1" max="22" width="11.42578125" customWidth="1"/>
  </cols>
  <sheetData>
    <row r="1" spans="1:22">
      <c r="A1" s="1"/>
      <c r="B1" s="1" t="s">
        <v>12</v>
      </c>
      <c r="C1" s="1"/>
      <c r="D1" s="1"/>
      <c r="E1" s="1"/>
      <c r="F1" s="1" t="s">
        <v>19</v>
      </c>
      <c r="G1" s="1"/>
      <c r="H1" s="1"/>
      <c r="I1" s="1"/>
      <c r="J1" s="1" t="s">
        <v>20</v>
      </c>
      <c r="K1" s="1"/>
      <c r="L1" s="1"/>
      <c r="M1" s="1"/>
      <c r="N1" s="1" t="s">
        <v>21</v>
      </c>
      <c r="O1" s="1"/>
      <c r="P1" s="1"/>
      <c r="Q1" s="1" t="s">
        <v>22</v>
      </c>
      <c r="R1" s="1"/>
      <c r="S1" s="1"/>
      <c r="T1" s="1" t="s">
        <v>23</v>
      </c>
      <c r="U1" s="1"/>
      <c r="V1" s="1"/>
    </row>
    <row r="2" spans="1:22">
      <c r="A2" s="1"/>
      <c r="B2" s="1" t="s">
        <v>13</v>
      </c>
      <c r="C2" s="1" t="s">
        <v>14</v>
      </c>
      <c r="D2" s="1" t="s">
        <v>15</v>
      </c>
      <c r="E2" s="1" t="s">
        <v>18</v>
      </c>
      <c r="F2" s="1" t="s">
        <v>13</v>
      </c>
      <c r="G2" s="1" t="s">
        <v>14</v>
      </c>
      <c r="H2" s="1" t="s">
        <v>15</v>
      </c>
      <c r="I2" s="1" t="s">
        <v>18</v>
      </c>
      <c r="J2" s="1" t="s">
        <v>13</v>
      </c>
      <c r="K2" s="1" t="s">
        <v>14</v>
      </c>
      <c r="L2" s="1" t="s">
        <v>15</v>
      </c>
      <c r="M2" s="1" t="s">
        <v>18</v>
      </c>
      <c r="N2" s="1" t="s">
        <v>13</v>
      </c>
      <c r="O2" s="1" t="s">
        <v>14</v>
      </c>
      <c r="P2" s="1" t="s">
        <v>18</v>
      </c>
      <c r="Q2" s="1" t="s">
        <v>13</v>
      </c>
      <c r="R2" s="1" t="s">
        <v>14</v>
      </c>
      <c r="S2" s="1" t="s">
        <v>18</v>
      </c>
      <c r="T2" s="1" t="s">
        <v>13</v>
      </c>
      <c r="U2" s="1" t="s">
        <v>14</v>
      </c>
      <c r="V2" s="1" t="s">
        <v>18</v>
      </c>
    </row>
    <row r="3" spans="1:22">
      <c r="A3" s="1" t="s">
        <v>25</v>
      </c>
      <c r="B3" s="1">
        <f>AVERAGE(Instances!B3:Instances!B6)</f>
        <v>0</v>
      </c>
      <c r="C3" s="1">
        <f>AVERAGE(Instances!C3:Instances!C6)</f>
        <v>0</v>
      </c>
      <c r="D3" s="1"/>
      <c r="E3" s="1">
        <f>AVERAGE(Instances!E3:Instances!E6)</f>
        <v>0</v>
      </c>
      <c r="F3" s="1">
        <f>AVERAGE(Instances!F3:Instances!F6)</f>
        <v>0</v>
      </c>
      <c r="G3" s="1">
        <f>AVERAGE(Instances!G3:Instances!G6)</f>
        <v>0</v>
      </c>
      <c r="H3" s="1"/>
      <c r="I3" s="1">
        <f>AVERAGE(Instances!I3:Instances!I6)</f>
        <v>0</v>
      </c>
      <c r="J3" s="1">
        <f>AVERAGE(Instances!J3:Instances!J6)</f>
        <v>0</v>
      </c>
      <c r="K3" s="1">
        <f>AVERAGE(Instances!K3:Instances!K6)</f>
        <v>0</v>
      </c>
      <c r="L3" s="1"/>
      <c r="M3" s="1">
        <f>AVERAGE(Instances!M3:Instances!M6)</f>
        <v>0</v>
      </c>
      <c r="N3" s="1">
        <f>MIN($B3,$F3,$J3)</f>
        <v>0</v>
      </c>
      <c r="O3" s="1">
        <f>MIN($C3,$G3,$K3)</f>
        <v>0</v>
      </c>
      <c r="P3" s="1">
        <f>MIN($E3,$I3,$M3)</f>
        <v>0</v>
      </c>
      <c r="Q3" s="1">
        <f>MEDIAN($B3,$F3,$J3)</f>
        <v>0</v>
      </c>
      <c r="R3" s="1">
        <f>MEDIAN($C3,$G3,$K3)</f>
        <v>0</v>
      </c>
      <c r="S3" s="1">
        <f>MEDIAN($E3,$I3,$M3)</f>
        <v>0</v>
      </c>
      <c r="T3" s="1">
        <f>MAX($B3,$F3,$J3)</f>
        <v>0</v>
      </c>
      <c r="U3" s="1">
        <f>MAX($C3,$G3,$K3)</f>
        <v>0</v>
      </c>
      <c r="V3" s="1">
        <f>MAX($E3,$I3,$M3)</f>
        <v>0</v>
      </c>
    </row>
    <row r="4" spans="1:2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>
      <c r="A5" s="1" t="s">
        <v>4</v>
      </c>
      <c r="B5" s="1">
        <f>SUM(B$3:B$3)</f>
        <v>0</v>
      </c>
      <c r="C5" s="1">
        <f>SUM(C$3:C$3)</f>
        <v>0</v>
      </c>
      <c r="D5" s="1"/>
      <c r="E5" s="1">
        <f>SUM(E$3:E$3)</f>
        <v>0</v>
      </c>
      <c r="F5" s="1">
        <f>SUM(F$3:F$3)</f>
        <v>0</v>
      </c>
      <c r="G5" s="1">
        <f>SUM(G$3:G$3)</f>
        <v>0</v>
      </c>
      <c r="H5" s="1"/>
      <c r="I5" s="1">
        <f>SUM(I$3:I$3)</f>
        <v>0</v>
      </c>
      <c r="J5" s="1">
        <f>SUM(J$3:J$3)</f>
        <v>0</v>
      </c>
      <c r="K5" s="1">
        <f>SUM(K$3:K$3)</f>
        <v>0</v>
      </c>
      <c r="L5" s="1"/>
      <c r="M5" s="1">
        <f>SUM(M$3:M$3)</f>
        <v>0</v>
      </c>
      <c r="N5" s="1">
        <f>SUM(N$3:N$3)</f>
        <v>0</v>
      </c>
      <c r="O5" s="1">
        <f>SUM(O$3:O$3)</f>
        <v>0</v>
      </c>
      <c r="P5" s="1">
        <f>SUM(P$3:P$3)</f>
        <v>0</v>
      </c>
      <c r="Q5" s="1">
        <f>SUM(Q$3:Q$3)</f>
        <v>0</v>
      </c>
      <c r="R5" s="1">
        <f>SUM(R$3:R$3)</f>
        <v>0</v>
      </c>
      <c r="S5" s="1">
        <f>SUM(S$3:S$3)</f>
        <v>0</v>
      </c>
      <c r="T5" s="1">
        <f>SUM(T$3:T$3)</f>
        <v>0</v>
      </c>
      <c r="U5" s="1">
        <f>SUM(U$3:U$3)</f>
        <v>0</v>
      </c>
      <c r="V5" s="1">
        <f>SUM(V$3:V$3)</f>
        <v>0</v>
      </c>
    </row>
    <row r="6" spans="1:22">
      <c r="A6" s="1" t="s">
        <v>5</v>
      </c>
      <c r="B6" s="1">
        <f>AVERAGE(B$3:B$3)</f>
        <v>0</v>
      </c>
      <c r="C6" s="1">
        <f>AVERAGE(C$3:C$3)</f>
        <v>0</v>
      </c>
      <c r="D6" s="1"/>
      <c r="E6" s="1">
        <f>AVERAGE(E$3:E$3)</f>
        <v>0</v>
      </c>
      <c r="F6" s="1">
        <f>AVERAGE(F$3:F$3)</f>
        <v>0</v>
      </c>
      <c r="G6" s="1">
        <f>AVERAGE(G$3:G$3)</f>
        <v>0</v>
      </c>
      <c r="H6" s="1"/>
      <c r="I6" s="1">
        <f>AVERAGE(I$3:I$3)</f>
        <v>0</v>
      </c>
      <c r="J6" s="1">
        <f>AVERAGE(J$3:J$3)</f>
        <v>0</v>
      </c>
      <c r="K6" s="1">
        <f>AVERAGE(K$3:K$3)</f>
        <v>0</v>
      </c>
      <c r="L6" s="1"/>
      <c r="M6" s="1">
        <f>AVERAGE(M$3:M$3)</f>
        <v>0</v>
      </c>
      <c r="N6" s="1">
        <f>AVERAGE(N$3:N$3)</f>
        <v>0</v>
      </c>
      <c r="O6" s="1">
        <f>AVERAGE(O$3:O$3)</f>
        <v>0</v>
      </c>
      <c r="P6" s="1">
        <f>AVERAGE(P$3:P$3)</f>
        <v>0</v>
      </c>
      <c r="Q6" s="1">
        <f>AVERAGE(Q$3:Q$3)</f>
        <v>0</v>
      </c>
      <c r="R6" s="1">
        <f>AVERAGE(R$3:R$3)</f>
        <v>0</v>
      </c>
      <c r="S6" s="1">
        <f>AVERAGE(S$3:S$3)</f>
        <v>0</v>
      </c>
      <c r="T6" s="1">
        <f>AVERAGE(T$3:T$3)</f>
        <v>0</v>
      </c>
      <c r="U6" s="1">
        <f>AVERAGE(U$3:U$3)</f>
        <v>0</v>
      </c>
      <c r="V6" s="1">
        <f>AVERAGE(V$3:V$3)</f>
        <v>0</v>
      </c>
    </row>
    <row r="7" spans="1:22">
      <c r="A7" s="1" t="s">
        <v>6</v>
      </c>
      <c r="B7" s="1">
        <f>STDEV(B$3:B$3)</f>
        <v>0</v>
      </c>
      <c r="C7" s="1">
        <f>STDEV(C$3:C$3)</f>
        <v>0</v>
      </c>
      <c r="D7" s="1"/>
      <c r="E7" s="1">
        <f>STDEV(E$3:E$3)</f>
        <v>0</v>
      </c>
      <c r="F7" s="1">
        <f>STDEV(F$3:F$3)</f>
        <v>0</v>
      </c>
      <c r="G7" s="1">
        <f>STDEV(G$3:G$3)</f>
        <v>0</v>
      </c>
      <c r="H7" s="1"/>
      <c r="I7" s="1">
        <f>STDEV(I$3:I$3)</f>
        <v>0</v>
      </c>
      <c r="J7" s="1">
        <f>STDEV(J$3:J$3)</f>
        <v>0</v>
      </c>
      <c r="K7" s="1">
        <f>STDEV(K$3:K$3)</f>
        <v>0</v>
      </c>
      <c r="L7" s="1"/>
      <c r="M7" s="1">
        <f>STDEV(M$3:M$3)</f>
        <v>0</v>
      </c>
      <c r="N7" s="1">
        <f>STDEV(N$3:N$3)</f>
        <v>0</v>
      </c>
      <c r="O7" s="1">
        <f>STDEV(O$3:O$3)</f>
        <v>0</v>
      </c>
      <c r="P7" s="1">
        <f>STDEV(P$3:P$3)</f>
        <v>0</v>
      </c>
      <c r="Q7" s="1">
        <f>STDEV(Q$3:Q$3)</f>
        <v>0</v>
      </c>
      <c r="R7" s="1">
        <f>STDEV(R$3:R$3)</f>
        <v>0</v>
      </c>
      <c r="S7" s="1">
        <f>STDEV(S$3:S$3)</f>
        <v>0</v>
      </c>
      <c r="T7" s="1">
        <f>STDEV(T$3:T$3)</f>
        <v>0</v>
      </c>
      <c r="U7" s="1">
        <f>STDEV(U$3:U$3)</f>
        <v>0</v>
      </c>
      <c r="V7" s="1">
        <f>STDEV(V$3:V$3)</f>
        <v>0</v>
      </c>
    </row>
    <row r="8" spans="1:22">
      <c r="A8" s="1" t="s">
        <v>7</v>
      </c>
      <c r="B8" s="1">
        <f>SUMPRODUCT(--(B$3:B$3-$N$3:$N$3)^2)^0.5</f>
        <v>0</v>
      </c>
      <c r="C8" s="1">
        <f>SUMPRODUCT(--(C$3:C$3-$O$3:$O$3)^2)^0.5</f>
        <v>0</v>
      </c>
      <c r="D8" s="1"/>
      <c r="E8" s="1">
        <f>SUMPRODUCT(--(E$3:E$3-$P$3:$P$3)^2)^0.5</f>
        <v>0</v>
      </c>
      <c r="F8" s="1">
        <f>SUMPRODUCT(--(F$3:F$3-$N$3:$N$3)^2)^0.5</f>
        <v>0</v>
      </c>
      <c r="G8" s="1">
        <f>SUMPRODUCT(--(G$3:G$3-$O$3:$O$3)^2)^0.5</f>
        <v>0</v>
      </c>
      <c r="H8" s="1"/>
      <c r="I8" s="1">
        <f>SUMPRODUCT(--(I$3:I$3-$P$3:$P$3)^2)^0.5</f>
        <v>0</v>
      </c>
      <c r="J8" s="1">
        <f>SUMPRODUCT(--(J$3:J$3-$N$3:$N$3)^2)^0.5</f>
        <v>0</v>
      </c>
      <c r="K8" s="1">
        <f>SUMPRODUCT(--(K$3:K$3-$O$3:$O$3)^2)^0.5</f>
        <v>0</v>
      </c>
      <c r="L8" s="1"/>
      <c r="M8" s="1">
        <f>SUMPRODUCT(--(M$3:M$3-$P$3:$P$3)^2)^0.5</f>
        <v>0</v>
      </c>
      <c r="N8" s="1"/>
      <c r="O8" s="1"/>
      <c r="P8" s="1"/>
      <c r="Q8" s="1"/>
      <c r="R8" s="1"/>
      <c r="S8" s="1"/>
      <c r="T8" s="1"/>
      <c r="U8" s="1"/>
      <c r="V8" s="1"/>
    </row>
    <row r="9" spans="1:22">
      <c r="A9" s="1" t="s">
        <v>8</v>
      </c>
      <c r="B9" s="1">
        <f>SUMPRODUCT(NOT(ISBLANK(B$3:B$3))*(B$3:B$3=$N$3:$N$3))</f>
        <v>0</v>
      </c>
      <c r="C9" s="1">
        <f>SUMPRODUCT(NOT(ISBLANK(C$3:C$3))*(C$3:C$3=$O$3:$O$3))</f>
        <v>0</v>
      </c>
      <c r="D9" s="1"/>
      <c r="E9" s="1">
        <f>SUMPRODUCT(NOT(ISBLANK(E$3:E$3))*(E$3:E$3=$P$3:$P$3))</f>
        <v>0</v>
      </c>
      <c r="F9" s="1">
        <f>SUMPRODUCT(NOT(ISBLANK(F$3:F$3))*(F$3:F$3=$N$3:$N$3))</f>
        <v>0</v>
      </c>
      <c r="G9" s="1">
        <f>SUMPRODUCT(NOT(ISBLANK(G$3:G$3))*(G$3:G$3=$O$3:$O$3))</f>
        <v>0</v>
      </c>
      <c r="H9" s="1"/>
      <c r="I9" s="1">
        <f>SUMPRODUCT(NOT(ISBLANK(I$3:I$3))*(I$3:I$3=$P$3:$P$3))</f>
        <v>0</v>
      </c>
      <c r="J9" s="1">
        <f>SUMPRODUCT(NOT(ISBLANK(J$3:J$3))*(J$3:J$3=$N$3:$N$3))</f>
        <v>0</v>
      </c>
      <c r="K9" s="1">
        <f>SUMPRODUCT(NOT(ISBLANK(K$3:K$3))*(K$3:K$3=$O$3:$O$3))</f>
        <v>0</v>
      </c>
      <c r="L9" s="1"/>
      <c r="M9" s="1">
        <f>SUMPRODUCT(NOT(ISBLANK(M$3:M$3))*(M$3:M$3=$P$3:$P$3))</f>
        <v>0</v>
      </c>
      <c r="N9" s="1"/>
      <c r="O9" s="1"/>
      <c r="P9" s="1"/>
      <c r="Q9" s="1"/>
      <c r="R9" s="1"/>
      <c r="S9" s="1"/>
      <c r="T9" s="1"/>
      <c r="U9" s="1"/>
      <c r="V9" s="1"/>
    </row>
    <row r="10" spans="1:22">
      <c r="A10" s="1" t="s">
        <v>9</v>
      </c>
      <c r="B10" s="1">
        <f>SUMPRODUCT(NOT(ISBLANK(B$3:B$3))*(B$3:B$3&lt;$Q$3:$Q$3))</f>
        <v>0</v>
      </c>
      <c r="C10" s="1">
        <f>SUMPRODUCT(NOT(ISBLANK(C$3:C$3))*(C$3:C$3&lt;$R$3:$R$3))</f>
        <v>0</v>
      </c>
      <c r="D10" s="1"/>
      <c r="E10" s="1">
        <f>SUMPRODUCT(NOT(ISBLANK(E$3:E$3))*(E$3:E$3&lt;$S$3:$S$3))</f>
        <v>0</v>
      </c>
      <c r="F10" s="1">
        <f>SUMPRODUCT(NOT(ISBLANK(F$3:F$3))*(F$3:F$3&lt;$Q$3:$Q$3))</f>
        <v>0</v>
      </c>
      <c r="G10" s="1">
        <f>SUMPRODUCT(NOT(ISBLANK(G$3:G$3))*(G$3:G$3&lt;$R$3:$R$3))</f>
        <v>0</v>
      </c>
      <c r="H10" s="1"/>
      <c r="I10" s="1">
        <f>SUMPRODUCT(NOT(ISBLANK(I$3:I$3))*(I$3:I$3&lt;$S$3:$S$3))</f>
        <v>0</v>
      </c>
      <c r="J10" s="1">
        <f>SUMPRODUCT(NOT(ISBLANK(J$3:J$3))*(J$3:J$3&lt;$Q$3:$Q$3))</f>
        <v>0</v>
      </c>
      <c r="K10" s="1">
        <f>SUMPRODUCT(NOT(ISBLANK(K$3:K$3))*(K$3:K$3&lt;$R$3:$R$3))</f>
        <v>0</v>
      </c>
      <c r="L10" s="1"/>
      <c r="M10" s="1">
        <f>SUMPRODUCT(NOT(ISBLANK(M$3:M$3))*(M$3:M$3&lt;$S$3:$S$3))</f>
        <v>0</v>
      </c>
      <c r="N10" s="1"/>
      <c r="O10" s="1"/>
      <c r="P10" s="1"/>
      <c r="Q10" s="1"/>
      <c r="R10" s="1"/>
      <c r="S10" s="1"/>
      <c r="T10" s="1"/>
      <c r="U10" s="1"/>
      <c r="V10" s="1"/>
    </row>
    <row r="11" spans="1:22">
      <c r="A11" s="1" t="s">
        <v>10</v>
      </c>
      <c r="B11" s="1">
        <f>SUMPRODUCT((NOT(ISBLANK(B$3:B$3))*(B$3:B$3&gt;$Q$3:$Q$3))+ISBLANK(B$3:B$3))</f>
        <v>0</v>
      </c>
      <c r="C11" s="1">
        <f>SUMPRODUCT((NOT(ISBLANK(C$3:C$3))*(C$3:C$3&gt;$R$3:$R$3))+ISBLANK(C$3:C$3))</f>
        <v>0</v>
      </c>
      <c r="D11" s="1"/>
      <c r="E11" s="1">
        <f>SUMPRODUCT((NOT(ISBLANK(E$3:E$3))*(E$3:E$3&gt;$S$3:$S$3))+ISBLANK(E$3:E$3))</f>
        <v>0</v>
      </c>
      <c r="F11" s="1">
        <f>SUMPRODUCT((NOT(ISBLANK(F$3:F$3))*(F$3:F$3&gt;$Q$3:$Q$3))+ISBLANK(F$3:F$3))</f>
        <v>0</v>
      </c>
      <c r="G11" s="1">
        <f>SUMPRODUCT((NOT(ISBLANK(G$3:G$3))*(G$3:G$3&gt;$R$3:$R$3))+ISBLANK(G$3:G$3))</f>
        <v>0</v>
      </c>
      <c r="H11" s="1"/>
      <c r="I11" s="1">
        <f>SUMPRODUCT((NOT(ISBLANK(I$3:I$3))*(I$3:I$3&gt;$S$3:$S$3))+ISBLANK(I$3:I$3))</f>
        <v>0</v>
      </c>
      <c r="J11" s="1">
        <f>SUMPRODUCT((NOT(ISBLANK(J$3:J$3))*(J$3:J$3&gt;$Q$3:$Q$3))+ISBLANK(J$3:J$3))</f>
        <v>0</v>
      </c>
      <c r="K11" s="1">
        <f>SUMPRODUCT((NOT(ISBLANK(K$3:K$3))*(K$3:K$3&gt;$R$3:$R$3))+ISBLANK(K$3:K$3))</f>
        <v>0</v>
      </c>
      <c r="L11" s="1"/>
      <c r="M11" s="1">
        <f>SUMPRODUCT((NOT(ISBLANK(M$3:M$3))*(M$3:M$3&gt;$S$3:$S$3))+ISBLANK(M$3:M$3))</f>
        <v>0</v>
      </c>
      <c r="N11" s="1"/>
      <c r="O11" s="1"/>
      <c r="P11" s="1"/>
      <c r="Q11" s="1"/>
      <c r="R11" s="1"/>
      <c r="S11" s="1"/>
      <c r="T11" s="1"/>
      <c r="U11" s="1"/>
      <c r="V11" s="1"/>
    </row>
    <row r="12" spans="1:22">
      <c r="A12" s="1" t="s">
        <v>11</v>
      </c>
      <c r="B12" s="1">
        <f>SUMPRODUCT((NOT(ISBLANK(B$3:B$3))*(B$3:B$3=$T$3:$T$3))+ISBLANK(B$3:B$3))</f>
        <v>0</v>
      </c>
      <c r="C12" s="1">
        <f>SUMPRODUCT((NOT(ISBLANK(C$3:C$3))*(C$3:C$3=$U$3:$U$3))+ISBLANK(C$3:C$3))</f>
        <v>0</v>
      </c>
      <c r="D12" s="1"/>
      <c r="E12" s="1">
        <f>SUMPRODUCT((NOT(ISBLANK(E$3:E$3))*(E$3:E$3=$V$3:$V$3))+ISBLANK(E$3:E$3))</f>
        <v>0</v>
      </c>
      <c r="F12" s="1">
        <f>SUMPRODUCT((NOT(ISBLANK(F$3:F$3))*(F$3:F$3=$T$3:$T$3))+ISBLANK(F$3:F$3))</f>
        <v>0</v>
      </c>
      <c r="G12" s="1">
        <f>SUMPRODUCT((NOT(ISBLANK(G$3:G$3))*(G$3:G$3=$U$3:$U$3))+ISBLANK(G$3:G$3))</f>
        <v>0</v>
      </c>
      <c r="H12" s="1"/>
      <c r="I12" s="1">
        <f>SUMPRODUCT((NOT(ISBLANK(I$3:I$3))*(I$3:I$3=$V$3:$V$3))+ISBLANK(I$3:I$3))</f>
        <v>0</v>
      </c>
      <c r="J12" s="1">
        <f>SUMPRODUCT((NOT(ISBLANK(J$3:J$3))*(J$3:J$3=$T$3:$T$3))+ISBLANK(J$3:J$3))</f>
        <v>0</v>
      </c>
      <c r="K12" s="1">
        <f>SUMPRODUCT((NOT(ISBLANK(K$3:K$3))*(K$3:K$3=$U$3:$U$3))+ISBLANK(K$3:K$3))</f>
        <v>0</v>
      </c>
      <c r="L12" s="1"/>
      <c r="M12" s="1">
        <f>SUMPRODUCT((NOT(ISBLANK(M$3:M$3))*(M$3:M$3=$V$3:$V$3))+ISBLANK(M$3:M$3))</f>
        <v>0</v>
      </c>
      <c r="N12" s="1"/>
      <c r="O12" s="1"/>
      <c r="P12" s="1"/>
      <c r="Q12" s="1"/>
      <c r="R12" s="1"/>
      <c r="S12" s="1"/>
      <c r="T12" s="1"/>
      <c r="U12" s="1"/>
      <c r="V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Instances</vt:lpstr>
      <vt:lpstr>Merged Runs</vt:lpstr>
      <vt:lpstr>Classes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2026-02-14T22:31:26Z</dcterms:created>
  <dcterms:modified xsi:type="dcterms:W3CDTF">2026-02-14T22:31:26Z</dcterms:modified>
</cp:coreProperties>
</file>