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<sst xmlns="http://schemas.openxmlformats.org/spreadsheetml/2006/main" count="237" uniqueCount="30">
  <si>
    <t>instances/size-1</t>
  </si>
  <si>
    <t>instances/size-10</t>
  </si>
  <si>
    <t>instances/size-5</t>
  </si>
  <si>
    <t>instances/size-7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</si>
  <si>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</si>
  <si>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</si>
  <si>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</si>
  <si>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</si>
  <si>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</si>
  <si>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</si>
  <si>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</si>
  <si>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</si>
  <si>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memelingo-1/simple_mlp-lpnmr-ht</t>
  </si>
  <si>
    <t>time</t>
  </si>
  <si>
    <t>stime</t>
  </si>
  <si>
    <t>status</t>
  </si>
  <si>
    <t>SATISFIABLE</t>
  </si>
  <si>
    <t>rules</t>
  </si>
  <si>
    <t>gtime</t>
  </si>
  <si>
    <t>ctime</t>
  </si>
  <si>
    <t>memelingo-1/simple_mlp-lpnmr-htc</t>
  </si>
  <si>
    <t>memelingo-1/simple_mlp-lpnmr-htcdl</t>
  </si>
  <si>
    <t>memelingo-1/simple_mlp-tplp-ht</t>
  </si>
  <si>
    <t>memelingo-1/simple_mlp-tplp-htc</t>
  </si>
  <si>
    <t>memelingo-1/simple_mlp-tplp-htcdl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</si>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</sst>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3" width="11.42578125" customWidth="1"/>
    <col min="4" max="4" width="11.7109375" customWidth="1"/>
    <col min="5" max="9" width="11.42578125" customWidth="1"/>
    <col min="10" max="10" width="11.7109375" customWidth="1"/>
    <col min="11" max="15" width="11.42578125" customWidth="1"/>
    <col min="16" max="16" width="11.7109375" customWidth="1"/>
    <col min="17" max="21" width="11.42578125" customWidth="1"/>
    <col min="22" max="22" width="11.7109375" customWidth="1"/>
    <col min="23" max="27" width="11.42578125" customWidth="1"/>
    <col min="28" max="28" width="11.7109375" customWidth="1"/>
    <col min="29" max="33" width="11.42578125" customWidth="1"/>
    <col min="34" max="34" width="11.7109375" customWidth="1"/>
    <col min="35" max="52" width="11.42578125" customWidth="1"/>
  </cols>
  <sheetData>
    <row r="1" spans="1:52">
      <c r="A1" s="1"/>
      <c r="B1" s="1" t="s">
        <v>12</v>
      </c>
      <c r="C1" s="1"/>
      <c r="D1" s="1"/>
      <c r="E1" s="1"/>
      <c r="F1" s="1"/>
      <c r="G1" s="1"/>
      <c r="H1" s="1" t="s">
        <v>20</v>
      </c>
      <c r="I1" s="1"/>
      <c r="J1" s="1"/>
      <c r="K1" s="1"/>
      <c r="L1" s="1"/>
      <c r="M1" s="1"/>
      <c r="N1" s="1" t="s">
        <v>21</v>
      </c>
      <c r="O1" s="1"/>
      <c r="P1" s="1"/>
      <c r="Q1" s="1"/>
      <c r="R1" s="1"/>
      <c r="S1" s="1"/>
      <c r="T1" s="1" t="s">
        <v>22</v>
      </c>
      <c r="U1" s="1"/>
      <c r="V1" s="1"/>
      <c r="W1" s="1"/>
      <c r="X1" s="1"/>
      <c r="Y1" s="1"/>
      <c r="Z1" s="1" t="s">
        <v>23</v>
      </c>
      <c r="AA1" s="1"/>
      <c r="AB1" s="1"/>
      <c r="AC1" s="1"/>
      <c r="AD1" s="1"/>
      <c r="AE1" s="1"/>
      <c r="AF1" s="1" t="s">
        <v>24</v>
      </c>
      <c r="AG1" s="1"/>
      <c r="AH1" s="1"/>
      <c r="AI1" s="1"/>
      <c r="AJ1" s="1"/>
      <c r="AK1" s="1"/>
      <c r="AL1" s="1" t="s">
        <v>25</v>
      </c>
      <c r="AM1" s="1"/>
      <c r="AN1" s="1"/>
      <c r="AO1" s="1"/>
      <c r="AP1" s="1"/>
      <c r="AQ1" s="1" t="s">
        <v>26</v>
      </c>
      <c r="AR1" s="1"/>
      <c r="AS1" s="1"/>
      <c r="AT1" s="1"/>
      <c r="AU1" s="1"/>
      <c r="AV1" s="1" t="s">
        <v>27</v>
      </c>
      <c r="AW1" s="1"/>
      <c r="AX1" s="1"/>
      <c r="AY1" s="1"/>
      <c r="AZ1" s="1"/>
    </row>
    <row r="2" spans="1:52">
      <c r="A2" s="1"/>
      <c r="B2" s="1" t="s">
        <v>13</v>
      </c>
      <c r="C2" s="1" t="s">
        <v>14</v>
      </c>
      <c r="D2" s="1" t="s">
        <v>15</v>
      </c>
      <c r="E2" s="1" t="s">
        <v>17</v>
      </c>
      <c r="F2" s="1" t="s">
        <v>18</v>
      </c>
      <c r="G2" s="1" t="s">
        <v>19</v>
      </c>
      <c r="H2" s="1" t="s">
        <v>13</v>
      </c>
      <c r="I2" s="1" t="s">
        <v>14</v>
      </c>
      <c r="J2" s="1" t="s">
        <v>15</v>
      </c>
      <c r="K2" s="1" t="s">
        <v>17</v>
      </c>
      <c r="L2" s="1" t="s">
        <v>18</v>
      </c>
      <c r="M2" s="1" t="s">
        <v>19</v>
      </c>
      <c r="N2" s="1" t="s">
        <v>13</v>
      </c>
      <c r="O2" s="1" t="s">
        <v>14</v>
      </c>
      <c r="P2" s="1" t="s">
        <v>15</v>
      </c>
      <c r="Q2" s="1" t="s">
        <v>17</v>
      </c>
      <c r="R2" s="1" t="s">
        <v>18</v>
      </c>
      <c r="S2" s="1" t="s">
        <v>19</v>
      </c>
      <c r="T2" s="1" t="s">
        <v>13</v>
      </c>
      <c r="U2" s="1" t="s">
        <v>14</v>
      </c>
      <c r="V2" s="1" t="s">
        <v>15</v>
      </c>
      <c r="W2" s="1" t="s">
        <v>17</v>
      </c>
      <c r="X2" s="1" t="s">
        <v>18</v>
      </c>
      <c r="Y2" s="1" t="s">
        <v>19</v>
      </c>
      <c r="Z2" s="1" t="s">
        <v>13</v>
      </c>
      <c r="AA2" s="1" t="s">
        <v>14</v>
      </c>
      <c r="AB2" s="1" t="s">
        <v>15</v>
      </c>
      <c r="AC2" s="1" t="s">
        <v>17</v>
      </c>
      <c r="AD2" s="1" t="s">
        <v>18</v>
      </c>
      <c r="AE2" s="1" t="s">
        <v>19</v>
      </c>
      <c r="AF2" s="1" t="s">
        <v>13</v>
      </c>
      <c r="AG2" s="1" t="s">
        <v>14</v>
      </c>
      <c r="AH2" s="1" t="s">
        <v>15</v>
      </c>
      <c r="AI2" s="1" t="s">
        <v>17</v>
      </c>
      <c r="AJ2" s="1" t="s">
        <v>18</v>
      </c>
      <c r="AK2" s="1" t="s">
        <v>19</v>
      </c>
      <c r="AL2" s="1" t="s">
        <v>13</v>
      </c>
      <c r="AM2" s="1" t="s">
        <v>14</v>
      </c>
      <c r="AN2" s="1" t="s">
        <v>17</v>
      </c>
      <c r="AO2" s="1" t="s">
        <v>18</v>
      </c>
      <c r="AP2" s="1" t="s">
        <v>19</v>
      </c>
      <c r="AQ2" s="1" t="s">
        <v>13</v>
      </c>
      <c r="AR2" s="1" t="s">
        <v>14</v>
      </c>
      <c r="AS2" s="1" t="s">
        <v>17</v>
      </c>
      <c r="AT2" s="1" t="s">
        <v>18</v>
      </c>
      <c r="AU2" s="1" t="s">
        <v>19</v>
      </c>
      <c r="AV2" s="1" t="s">
        <v>13</v>
      </c>
      <c r="AW2" s="1" t="s">
        <v>14</v>
      </c>
      <c r="AX2" s="1" t="s">
        <v>17</v>
      </c>
      <c r="AY2" s="1" t="s">
        <v>18</v>
      </c>
      <c r="AZ2" s="1" t="s">
        <v>19</v>
      </c>
    </row>
    <row r="3" spans="1:52">
      <c r="A3" s="1" t="s">
        <v>0</v>
      </c>
      <c r="B3" s="1">
        <v>8.779999999999999</v>
      </c>
      <c r="C3" s="1">
        <v>0.01</v>
      </c>
      <c r="D3" s="1" t="s">
        <v>16</v>
      </c>
      <c r="E3" s="1">
        <v>297060</v>
      </c>
      <c r="F3" s="1">
        <v>2.34</v>
      </c>
      <c r="G3" s="1">
        <v>2.348</v>
      </c>
      <c r="H3" s="1">
        <v>6.8</v>
      </c>
      <c r="I3" s="1">
        <v>0</v>
      </c>
      <c r="J3" s="1" t="s">
        <v>16</v>
      </c>
      <c r="K3" s="1">
        <v>2014</v>
      </c>
      <c r="L3" s="1">
        <v>0.22</v>
      </c>
      <c r="M3" s="1">
        <v>0.221</v>
      </c>
      <c r="N3" s="1">
        <v>6.42</v>
      </c>
      <c r="O3" s="1">
        <v>0</v>
      </c>
      <c r="P3" s="1" t="s">
        <v>16</v>
      </c>
      <c r="Q3" s="1">
        <v>2014</v>
      </c>
      <c r="R3" s="1">
        <v>0.15</v>
      </c>
      <c r="S3" s="1">
        <v>0.152</v>
      </c>
      <c r="T3" s="1">
        <v>8.359999999999999</v>
      </c>
      <c r="U3" s="1">
        <v>0.02</v>
      </c>
      <c r="V3" s="1" t="s">
        <v>16</v>
      </c>
      <c r="W3" s="1">
        <v>334135</v>
      </c>
      <c r="X3" s="1">
        <v>2.06</v>
      </c>
      <c r="Y3" s="1">
        <v>2.081</v>
      </c>
      <c r="Z3" s="1">
        <v>6.42</v>
      </c>
      <c r="AA3" s="1">
        <v>0</v>
      </c>
      <c r="AB3" s="1" t="s">
        <v>16</v>
      </c>
      <c r="AC3" s="1">
        <v>2249</v>
      </c>
      <c r="AD3" s="1">
        <v>0.21</v>
      </c>
      <c r="AE3" s="1">
        <v>0.209</v>
      </c>
      <c r="AF3" s="1">
        <v>6.54</v>
      </c>
      <c r="AG3" s="1">
        <v>0</v>
      </c>
      <c r="AH3" s="1" t="s">
        <v>16</v>
      </c>
      <c r="AI3" s="1">
        <v>2249</v>
      </c>
      <c r="AJ3" s="1">
        <v>0.2</v>
      </c>
      <c r="AK3" s="1">
        <v>0.199</v>
      </c>
      <c r="AL3" s="1">
        <f>MIN($B3,$H3,$N3,$T3,$Z3,$AF3)</f>
        <v>0</v>
      </c>
      <c r="AM3" s="1">
        <f>MIN($C3,$I3,$O3,$U3,$AA3,$AG3)</f>
        <v>0</v>
      </c>
      <c r="AN3" s="1">
        <f>MIN($E3,$K3,$Q3,$W3,$AC3,$AI3)</f>
        <v>0</v>
      </c>
      <c r="AO3" s="1">
        <f>MIN($F3,$L3,$R3,$X3,$AD3,$AJ3)</f>
        <v>0</v>
      </c>
      <c r="AP3" s="1">
        <f>MIN($G3,$M3,$S3,$Y3,$AE3,$AK3)</f>
        <v>0</v>
      </c>
      <c r="AQ3" s="1">
        <f>MEDIAN($B3,$H3,$N3,$T3,$Z3,$AF3)</f>
        <v>0</v>
      </c>
      <c r="AR3" s="1">
        <f>MEDIAN($C3,$I3,$O3,$U3,$AA3,$AG3)</f>
        <v>0</v>
      </c>
      <c r="AS3" s="1">
        <f>MEDIAN($E3,$K3,$Q3,$W3,$AC3,$AI3)</f>
        <v>0</v>
      </c>
      <c r="AT3" s="1">
        <f>MEDIAN($F3,$L3,$R3,$X3,$AD3,$AJ3)</f>
        <v>0</v>
      </c>
      <c r="AU3" s="1">
        <f>MEDIAN($G3,$M3,$S3,$Y3,$AE3,$AK3)</f>
        <v>0</v>
      </c>
      <c r="AV3" s="1">
        <f>MAX($B3,$H3,$N3,$T3,$Z3,$AF3)</f>
        <v>0</v>
      </c>
      <c r="AW3" s="1">
        <f>MAX($C3,$I3,$O3,$U3,$AA3,$AG3)</f>
        <v>0</v>
      </c>
      <c r="AX3" s="1">
        <f>MAX($E3,$K3,$Q3,$W3,$AC3,$AI3)</f>
        <v>0</v>
      </c>
      <c r="AY3" s="1">
        <f>MAX($F3,$L3,$R3,$X3,$AD3,$AJ3)</f>
        <v>0</v>
      </c>
      <c r="AZ3" s="1">
        <f>MAX($G3,$M3,$S3,$Y3,$AE3,$AK3)</f>
        <v>0</v>
      </c>
    </row>
    <row r="4" spans="1:52">
      <c r="A4" s="1" t="s">
        <v>1</v>
      </c>
      <c r="B4" s="1">
        <v>1200</v>
      </c>
      <c r="C4" s="1"/>
      <c r="D4" s="1"/>
      <c r="E4" s="1"/>
      <c r="F4" s="1"/>
      <c r="G4" s="1"/>
      <c r="H4" s="1">
        <v>6.15</v>
      </c>
      <c r="I4" s="1">
        <v>0</v>
      </c>
      <c r="J4" s="1" t="s">
        <v>16</v>
      </c>
      <c r="K4" s="1">
        <v>2014</v>
      </c>
      <c r="L4" s="1">
        <v>0.15</v>
      </c>
      <c r="M4" s="1">
        <v>0.15</v>
      </c>
      <c r="N4" s="1">
        <v>6.34</v>
      </c>
      <c r="O4" s="1">
        <v>0</v>
      </c>
      <c r="P4" s="1" t="s">
        <v>16</v>
      </c>
      <c r="Q4" s="1">
        <v>2014</v>
      </c>
      <c r="R4" s="1">
        <v>0.16</v>
      </c>
      <c r="S4" s="1">
        <v>0.158</v>
      </c>
      <c r="T4" s="1">
        <v>1200</v>
      </c>
      <c r="U4" s="1"/>
      <c r="V4" s="1"/>
      <c r="W4" s="1"/>
      <c r="X4" s="1"/>
      <c r="Y4" s="1"/>
      <c r="Z4" s="1">
        <v>6.74</v>
      </c>
      <c r="AA4" s="1">
        <v>0</v>
      </c>
      <c r="AB4" s="1" t="s">
        <v>16</v>
      </c>
      <c r="AC4" s="1">
        <v>2249</v>
      </c>
      <c r="AD4" s="1">
        <v>0.22</v>
      </c>
      <c r="AE4" s="1">
        <v>0.221</v>
      </c>
      <c r="AF4" s="1">
        <v>6.67</v>
      </c>
      <c r="AG4" s="1">
        <v>0</v>
      </c>
      <c r="AH4" s="1" t="s">
        <v>16</v>
      </c>
      <c r="AI4" s="1">
        <v>2249</v>
      </c>
      <c r="AJ4" s="1">
        <v>0.2</v>
      </c>
      <c r="AK4" s="1">
        <v>0.203</v>
      </c>
      <c r="AL4" s="1">
        <f>MIN($B4,$H4,$N4,$T4,$Z4,$AF4)</f>
        <v>0</v>
      </c>
      <c r="AM4" s="1">
        <f>MIN($C4,$I4,$O4,$U4,$AA4,$AG4)</f>
        <v>0</v>
      </c>
      <c r="AN4" s="1">
        <f>MIN($E4,$K4,$Q4,$W4,$AC4,$AI4)</f>
        <v>0</v>
      </c>
      <c r="AO4" s="1">
        <f>MIN($F4,$L4,$R4,$X4,$AD4,$AJ4)</f>
        <v>0</v>
      </c>
      <c r="AP4" s="1">
        <f>MIN($G4,$M4,$S4,$Y4,$AE4,$AK4)</f>
        <v>0</v>
      </c>
      <c r="AQ4" s="1">
        <f>MEDIAN($B4,$H4,$N4,$T4,$Z4,$AF4)</f>
        <v>0</v>
      </c>
      <c r="AR4" s="1">
        <f>MEDIAN($C4,$I4,$O4,$U4,$AA4,$AG4)</f>
        <v>0</v>
      </c>
      <c r="AS4" s="1">
        <f>MEDIAN($E4,$K4,$Q4,$W4,$AC4,$AI4)</f>
        <v>0</v>
      </c>
      <c r="AT4" s="1">
        <f>MEDIAN($F4,$L4,$R4,$X4,$AD4,$AJ4)</f>
        <v>0</v>
      </c>
      <c r="AU4" s="1">
        <f>MEDIAN($G4,$M4,$S4,$Y4,$AE4,$AK4)</f>
        <v>0</v>
      </c>
      <c r="AV4" s="1">
        <f>MAX($B4,$H4,$N4,$T4,$Z4,$AF4)</f>
        <v>0</v>
      </c>
      <c r="AW4" s="1">
        <f>MAX($C4,$I4,$O4,$U4,$AA4,$AG4)</f>
        <v>0</v>
      </c>
      <c r="AX4" s="1">
        <f>MAX($E4,$K4,$Q4,$W4,$AC4,$AI4)</f>
        <v>0</v>
      </c>
      <c r="AY4" s="1">
        <f>MAX($F4,$L4,$R4,$X4,$AD4,$AJ4)</f>
        <v>0</v>
      </c>
      <c r="AZ4" s="1">
        <f>MAX($G4,$M4,$S4,$Y4,$AE4,$AK4)</f>
        <v>0</v>
      </c>
    </row>
    <row r="5" spans="1:52">
      <c r="A5" s="1" t="s">
        <v>2</v>
      </c>
      <c r="B5" s="1">
        <v>76.77</v>
      </c>
      <c r="C5" s="1">
        <v>2.62</v>
      </c>
      <c r="D5" s="1" t="s">
        <v>16</v>
      </c>
      <c r="E5" s="1">
        <v>7527300</v>
      </c>
      <c r="F5" s="1">
        <v>66.56</v>
      </c>
      <c r="G5" s="1">
        <v>69.181</v>
      </c>
      <c r="H5" s="1">
        <v>6.72</v>
      </c>
      <c r="I5" s="1">
        <v>0</v>
      </c>
      <c r="J5" s="1" t="s">
        <v>16</v>
      </c>
      <c r="K5" s="1">
        <v>2014</v>
      </c>
      <c r="L5" s="1">
        <v>0.15</v>
      </c>
      <c r="M5" s="1">
        <v>0.147</v>
      </c>
      <c r="N5" s="1">
        <v>6.43</v>
      </c>
      <c r="O5" s="1">
        <v>0</v>
      </c>
      <c r="P5" s="1" t="s">
        <v>16</v>
      </c>
      <c r="Q5" s="1">
        <v>2014</v>
      </c>
      <c r="R5" s="1">
        <v>0.16</v>
      </c>
      <c r="S5" s="1">
        <v>0.16</v>
      </c>
      <c r="T5" s="1">
        <v>77.90000000000001</v>
      </c>
      <c r="U5" s="1">
        <v>3.18</v>
      </c>
      <c r="V5" s="1" t="s">
        <v>16</v>
      </c>
      <c r="W5" s="1">
        <v>8437935</v>
      </c>
      <c r="X5" s="1">
        <v>67.06</v>
      </c>
      <c r="Y5" s="1">
        <v>70.241</v>
      </c>
      <c r="Z5" s="1">
        <v>6.43</v>
      </c>
      <c r="AA5" s="1">
        <v>0</v>
      </c>
      <c r="AB5" s="1" t="s">
        <v>16</v>
      </c>
      <c r="AC5" s="1">
        <v>2249</v>
      </c>
      <c r="AD5" s="1">
        <v>0.21</v>
      </c>
      <c r="AE5" s="1">
        <v>0.215</v>
      </c>
      <c r="AF5" s="1">
        <v>6.16</v>
      </c>
      <c r="AG5" s="1">
        <v>0</v>
      </c>
      <c r="AH5" s="1" t="s">
        <v>16</v>
      </c>
      <c r="AI5" s="1">
        <v>2249</v>
      </c>
      <c r="AJ5" s="1">
        <v>0.2</v>
      </c>
      <c r="AK5" s="1">
        <v>0.195</v>
      </c>
      <c r="AL5" s="1">
        <f>MIN($B5,$H5,$N5,$T5,$Z5,$AF5)</f>
        <v>0</v>
      </c>
      <c r="AM5" s="1">
        <f>MIN($C5,$I5,$O5,$U5,$AA5,$AG5)</f>
        <v>0</v>
      </c>
      <c r="AN5" s="1">
        <f>MIN($E5,$K5,$Q5,$W5,$AC5,$AI5)</f>
        <v>0</v>
      </c>
      <c r="AO5" s="1">
        <f>MIN($F5,$L5,$R5,$X5,$AD5,$AJ5)</f>
        <v>0</v>
      </c>
      <c r="AP5" s="1">
        <f>MIN($G5,$M5,$S5,$Y5,$AE5,$AK5)</f>
        <v>0</v>
      </c>
      <c r="AQ5" s="1">
        <f>MEDIAN($B5,$H5,$N5,$T5,$Z5,$AF5)</f>
        <v>0</v>
      </c>
      <c r="AR5" s="1">
        <f>MEDIAN($C5,$I5,$O5,$U5,$AA5,$AG5)</f>
        <v>0</v>
      </c>
      <c r="AS5" s="1">
        <f>MEDIAN($E5,$K5,$Q5,$W5,$AC5,$AI5)</f>
        <v>0</v>
      </c>
      <c r="AT5" s="1">
        <f>MEDIAN($F5,$L5,$R5,$X5,$AD5,$AJ5)</f>
        <v>0</v>
      </c>
      <c r="AU5" s="1">
        <f>MEDIAN($G5,$M5,$S5,$Y5,$AE5,$AK5)</f>
        <v>0</v>
      </c>
      <c r="AV5" s="1">
        <f>MAX($B5,$H5,$N5,$T5,$Z5,$AF5)</f>
        <v>0</v>
      </c>
      <c r="AW5" s="1">
        <f>MAX($C5,$I5,$O5,$U5,$AA5,$AG5)</f>
        <v>0</v>
      </c>
      <c r="AX5" s="1">
        <f>MAX($E5,$K5,$Q5,$W5,$AC5,$AI5)</f>
        <v>0</v>
      </c>
      <c r="AY5" s="1">
        <f>MAX($F5,$L5,$R5,$X5,$AD5,$AJ5)</f>
        <v>0</v>
      </c>
      <c r="AZ5" s="1">
        <f>MAX($G5,$M5,$S5,$Y5,$AE5,$AK5)</f>
        <v>0</v>
      </c>
    </row>
    <row r="6" spans="1:52">
      <c r="A6" s="1" t="s">
        <v>3</v>
      </c>
      <c r="B6" s="1">
        <v>168.67</v>
      </c>
      <c r="C6" s="1">
        <v>5.85</v>
      </c>
      <c r="D6" s="1" t="s">
        <v>16</v>
      </c>
      <c r="E6" s="1">
        <v>14772420</v>
      </c>
      <c r="F6" s="1">
        <v>154.3</v>
      </c>
      <c r="G6" s="1">
        <v>160.147</v>
      </c>
      <c r="H6" s="1">
        <v>6.5</v>
      </c>
      <c r="I6" s="1">
        <v>0</v>
      </c>
      <c r="J6" s="1" t="s">
        <v>16</v>
      </c>
      <c r="K6" s="1">
        <v>2014</v>
      </c>
      <c r="L6" s="1">
        <v>0.17</v>
      </c>
      <c r="M6" s="1">
        <v>0.175</v>
      </c>
      <c r="N6" s="1">
        <v>6.67</v>
      </c>
      <c r="O6" s="1">
        <v>0</v>
      </c>
      <c r="P6" s="1" t="s">
        <v>16</v>
      </c>
      <c r="Q6" s="1">
        <v>2014</v>
      </c>
      <c r="R6" s="1">
        <v>0.16</v>
      </c>
      <c r="S6" s="1">
        <v>0.157</v>
      </c>
      <c r="T6" s="1">
        <v>142.68</v>
      </c>
      <c r="U6" s="1">
        <v>8.15</v>
      </c>
      <c r="V6" s="1" t="s">
        <v>16</v>
      </c>
      <c r="W6" s="1">
        <v>16555435</v>
      </c>
      <c r="X6" s="1">
        <v>126.05</v>
      </c>
      <c r="Y6" s="1">
        <v>134.198</v>
      </c>
      <c r="Z6" s="1">
        <v>6.48</v>
      </c>
      <c r="AA6" s="1">
        <v>0</v>
      </c>
      <c r="AB6" s="1" t="s">
        <v>16</v>
      </c>
      <c r="AC6" s="1">
        <v>2249</v>
      </c>
      <c r="AD6" s="1">
        <v>0.22</v>
      </c>
      <c r="AE6" s="1">
        <v>0.224</v>
      </c>
      <c r="AF6" s="1">
        <v>6.41</v>
      </c>
      <c r="AG6" s="1">
        <v>0</v>
      </c>
      <c r="AH6" s="1" t="s">
        <v>16</v>
      </c>
      <c r="AI6" s="1">
        <v>2249</v>
      </c>
      <c r="AJ6" s="1">
        <v>0.21</v>
      </c>
      <c r="AK6" s="1">
        <v>0.209</v>
      </c>
      <c r="AL6" s="1">
        <f>MIN($B6,$H6,$N6,$T6,$Z6,$AF6)</f>
        <v>0</v>
      </c>
      <c r="AM6" s="1">
        <f>MIN($C6,$I6,$O6,$U6,$AA6,$AG6)</f>
        <v>0</v>
      </c>
      <c r="AN6" s="1">
        <f>MIN($E6,$K6,$Q6,$W6,$AC6,$AI6)</f>
        <v>0</v>
      </c>
      <c r="AO6" s="1">
        <f>MIN($F6,$L6,$R6,$X6,$AD6,$AJ6)</f>
        <v>0</v>
      </c>
      <c r="AP6" s="1">
        <f>MIN($G6,$M6,$S6,$Y6,$AE6,$AK6)</f>
        <v>0</v>
      </c>
      <c r="AQ6" s="1">
        <f>MEDIAN($B6,$H6,$N6,$T6,$Z6,$AF6)</f>
        <v>0</v>
      </c>
      <c r="AR6" s="1">
        <f>MEDIAN($C6,$I6,$O6,$U6,$AA6,$AG6)</f>
        <v>0</v>
      </c>
      <c r="AS6" s="1">
        <f>MEDIAN($E6,$K6,$Q6,$W6,$AC6,$AI6)</f>
        <v>0</v>
      </c>
      <c r="AT6" s="1">
        <f>MEDIAN($F6,$L6,$R6,$X6,$AD6,$AJ6)</f>
        <v>0</v>
      </c>
      <c r="AU6" s="1">
        <f>MEDIAN($G6,$M6,$S6,$Y6,$AE6,$AK6)</f>
        <v>0</v>
      </c>
      <c r="AV6" s="1">
        <f>MAX($B6,$H6,$N6,$T6,$Z6,$AF6)</f>
        <v>0</v>
      </c>
      <c r="AW6" s="1">
        <f>MAX($C6,$I6,$O6,$U6,$AA6,$AG6)</f>
        <v>0</v>
      </c>
      <c r="AX6" s="1">
        <f>MAX($E6,$K6,$Q6,$W6,$AC6,$AI6)</f>
        <v>0</v>
      </c>
      <c r="AY6" s="1">
        <f>MAX($F6,$L6,$R6,$X6,$AD6,$AJ6)</f>
        <v>0</v>
      </c>
      <c r="AZ6" s="1">
        <f>MAX($G6,$M6,$S6,$Y6,$AE6,$AK6)</f>
        <v>0</v>
      </c>
    </row>
    <row r="7" spans="1:5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>
      <c r="A8" s="1" t="s">
        <v>4</v>
      </c>
      <c r="B8" s="1">
        <f>SUM(B$3:B$6)</f>
        <v>0</v>
      </c>
      <c r="C8" s="1">
        <f>SUM(C$3:C$6)</f>
        <v>0</v>
      </c>
      <c r="D8" s="1"/>
      <c r="E8" s="1">
        <f>SUM(E$3:E$6)</f>
        <v>0</v>
      </c>
      <c r="F8" s="1">
        <f>SUM(F$3:F$6)</f>
        <v>0</v>
      </c>
      <c r="G8" s="1">
        <f>SUM(G$3:G$6)</f>
        <v>0</v>
      </c>
      <c r="H8" s="1">
        <f>SUM(H$3:H$6)</f>
        <v>0</v>
      </c>
      <c r="I8" s="1">
        <f>SUM(I$3:I$6)</f>
        <v>0</v>
      </c>
      <c r="J8" s="1"/>
      <c r="K8" s="1">
        <f>SUM(K$3:K$6)</f>
        <v>0</v>
      </c>
      <c r="L8" s="1">
        <f>SUM(L$3:L$6)</f>
        <v>0</v>
      </c>
      <c r="M8" s="1">
        <f>SUM(M$3:M$6)</f>
        <v>0</v>
      </c>
      <c r="N8" s="1">
        <f>SUM(N$3:N$6)</f>
        <v>0</v>
      </c>
      <c r="O8" s="1">
        <f>SUM(O$3:O$6)</f>
        <v>0</v>
      </c>
      <c r="P8" s="1"/>
      <c r="Q8" s="1">
        <f>SUM(Q$3:Q$6)</f>
        <v>0</v>
      </c>
      <c r="R8" s="1">
        <f>SUM(R$3:R$6)</f>
        <v>0</v>
      </c>
      <c r="S8" s="1">
        <f>SUM(S$3:S$6)</f>
        <v>0</v>
      </c>
      <c r="T8" s="1">
        <f>SUM(T$3:T$6)</f>
        <v>0</v>
      </c>
      <c r="U8" s="1">
        <f>SUM(U$3:U$6)</f>
        <v>0</v>
      </c>
      <c r="V8" s="1"/>
      <c r="W8" s="1">
        <f>SUM(W$3:W$6)</f>
        <v>0</v>
      </c>
      <c r="X8" s="1">
        <f>SUM(X$3:X$6)</f>
        <v>0</v>
      </c>
      <c r="Y8" s="1">
        <f>SUM(Y$3:Y$6)</f>
        <v>0</v>
      </c>
      <c r="Z8" s="1">
        <f>SUM(Z$3:Z$6)</f>
        <v>0</v>
      </c>
      <c r="AA8" s="1">
        <f>SUM(AA$3:AA$6)</f>
        <v>0</v>
      </c>
      <c r="AB8" s="1"/>
      <c r="AC8" s="1">
        <f>SUM(AC$3:AC$6)</f>
        <v>0</v>
      </c>
      <c r="AD8" s="1">
        <f>SUM(AD$3:AD$6)</f>
        <v>0</v>
      </c>
      <c r="AE8" s="1">
        <f>SUM(AE$3:AE$6)</f>
        <v>0</v>
      </c>
      <c r="AF8" s="1">
        <f>SUM(AF$3:AF$6)</f>
        <v>0</v>
      </c>
      <c r="AG8" s="1">
        <f>SUM(AG$3:AG$6)</f>
        <v>0</v>
      </c>
      <c r="AH8" s="1"/>
      <c r="AI8" s="1">
        <f>SUM(AI$3:AI$6)</f>
        <v>0</v>
      </c>
      <c r="AJ8" s="1">
        <f>SUM(AJ$3:AJ$6)</f>
        <v>0</v>
      </c>
      <c r="AK8" s="1">
        <f>SUM(AK$3:AK$6)</f>
        <v>0</v>
      </c>
      <c r="AL8" s="1">
        <f>SUM(AL$3:AL$6)</f>
        <v>0</v>
      </c>
      <c r="AM8" s="1">
        <f>SUM(AM$3:AM$6)</f>
        <v>0</v>
      </c>
      <c r="AN8" s="1">
        <f>SUM(AN$3:AN$6)</f>
        <v>0</v>
      </c>
      <c r="AO8" s="1">
        <f>SUM(AO$3:AO$6)</f>
        <v>0</v>
      </c>
      <c r="AP8" s="1">
        <f>SUM(AP$3:AP$6)</f>
        <v>0</v>
      </c>
      <c r="AQ8" s="1">
        <f>SUM(AQ$3:AQ$6)</f>
        <v>0</v>
      </c>
      <c r="AR8" s="1">
        <f>SUM(AR$3:AR$6)</f>
        <v>0</v>
      </c>
      <c r="AS8" s="1">
        <f>SUM(AS$3:AS$6)</f>
        <v>0</v>
      </c>
      <c r="AT8" s="1">
        <f>SUM(AT$3:AT$6)</f>
        <v>0</v>
      </c>
      <c r="AU8" s="1">
        <f>SUM(AU$3:AU$6)</f>
        <v>0</v>
      </c>
      <c r="AV8" s="1">
        <f>SUM(AV$3:AV$6)</f>
        <v>0</v>
      </c>
      <c r="AW8" s="1">
        <f>SUM(AW$3:AW$6)</f>
        <v>0</v>
      </c>
      <c r="AX8" s="1">
        <f>SUM(AX$3:AX$6)</f>
        <v>0</v>
      </c>
      <c r="AY8" s="1">
        <f>SUM(AY$3:AY$6)</f>
        <v>0</v>
      </c>
      <c r="AZ8" s="1">
        <f>SUM(AZ$3:AZ$6)</f>
        <v>0</v>
      </c>
    </row>
    <row r="9" spans="1:52">
      <c r="A9" s="1" t="s">
        <v>5</v>
      </c>
      <c r="B9" s="1">
        <f>AVERAGE(B$3:B$6)</f>
        <v>0</v>
      </c>
      <c r="C9" s="1">
        <f>AVERAGE(C$3:C$6)</f>
        <v>0</v>
      </c>
      <c r="D9" s="1"/>
      <c r="E9" s="1">
        <f>AVERAGE(E$3:E$6)</f>
        <v>0</v>
      </c>
      <c r="F9" s="1">
        <f>AVERAGE(F$3:F$6)</f>
        <v>0</v>
      </c>
      <c r="G9" s="1">
        <f>AVERAGE(G$3:G$6)</f>
        <v>0</v>
      </c>
      <c r="H9" s="1">
        <f>AVERAGE(H$3:H$6)</f>
        <v>0</v>
      </c>
      <c r="I9" s="1">
        <f>AVERAGE(I$3:I$6)</f>
        <v>0</v>
      </c>
      <c r="J9" s="1"/>
      <c r="K9" s="1">
        <f>AVERAGE(K$3:K$6)</f>
        <v>0</v>
      </c>
      <c r="L9" s="1">
        <f>AVERAGE(L$3:L$6)</f>
        <v>0</v>
      </c>
      <c r="M9" s="1">
        <f>AVERAGE(M$3:M$6)</f>
        <v>0</v>
      </c>
      <c r="N9" s="1">
        <f>AVERAGE(N$3:N$6)</f>
        <v>0</v>
      </c>
      <c r="O9" s="1">
        <f>AVERAGE(O$3:O$6)</f>
        <v>0</v>
      </c>
      <c r="P9" s="1"/>
      <c r="Q9" s="1">
        <f>AVERAGE(Q$3:Q$6)</f>
        <v>0</v>
      </c>
      <c r="R9" s="1">
        <f>AVERAGE(R$3:R$6)</f>
        <v>0</v>
      </c>
      <c r="S9" s="1">
        <f>AVERAGE(S$3:S$6)</f>
        <v>0</v>
      </c>
      <c r="T9" s="1">
        <f>AVERAGE(T$3:T$6)</f>
        <v>0</v>
      </c>
      <c r="U9" s="1">
        <f>AVERAGE(U$3:U$6)</f>
        <v>0</v>
      </c>
      <c r="V9" s="1"/>
      <c r="W9" s="1">
        <f>AVERAGE(W$3:W$6)</f>
        <v>0</v>
      </c>
      <c r="X9" s="1">
        <f>AVERAGE(X$3:X$6)</f>
        <v>0</v>
      </c>
      <c r="Y9" s="1">
        <f>AVERAGE(Y$3:Y$6)</f>
        <v>0</v>
      </c>
      <c r="Z9" s="1">
        <f>AVERAGE(Z$3:Z$6)</f>
        <v>0</v>
      </c>
      <c r="AA9" s="1">
        <f>AVERAGE(AA$3:AA$6)</f>
        <v>0</v>
      </c>
      <c r="AB9" s="1"/>
      <c r="AC9" s="1">
        <f>AVERAGE(AC$3:AC$6)</f>
        <v>0</v>
      </c>
      <c r="AD9" s="1">
        <f>AVERAGE(AD$3:AD$6)</f>
        <v>0</v>
      </c>
      <c r="AE9" s="1">
        <f>AVERAGE(AE$3:AE$6)</f>
        <v>0</v>
      </c>
      <c r="AF9" s="1">
        <f>AVERAGE(AF$3:AF$6)</f>
        <v>0</v>
      </c>
      <c r="AG9" s="1">
        <f>AVERAGE(AG$3:AG$6)</f>
        <v>0</v>
      </c>
      <c r="AH9" s="1"/>
      <c r="AI9" s="1">
        <f>AVERAGE(AI$3:AI$6)</f>
        <v>0</v>
      </c>
      <c r="AJ9" s="1">
        <f>AVERAGE(AJ$3:AJ$6)</f>
        <v>0</v>
      </c>
      <c r="AK9" s="1">
        <f>AVERAGE(AK$3:AK$6)</f>
        <v>0</v>
      </c>
      <c r="AL9" s="1">
        <f>AVERAGE(AL$3:AL$6)</f>
        <v>0</v>
      </c>
      <c r="AM9" s="1">
        <f>AVERAGE(AM$3:AM$6)</f>
        <v>0</v>
      </c>
      <c r="AN9" s="1">
        <f>AVERAGE(AN$3:AN$6)</f>
        <v>0</v>
      </c>
      <c r="AO9" s="1">
        <f>AVERAGE(AO$3:AO$6)</f>
        <v>0</v>
      </c>
      <c r="AP9" s="1">
        <f>AVERAGE(AP$3:AP$6)</f>
        <v>0</v>
      </c>
      <c r="AQ9" s="1">
        <f>AVERAGE(AQ$3:AQ$6)</f>
        <v>0</v>
      </c>
      <c r="AR9" s="1">
        <f>AVERAGE(AR$3:AR$6)</f>
        <v>0</v>
      </c>
      <c r="AS9" s="1">
        <f>AVERAGE(AS$3:AS$6)</f>
        <v>0</v>
      </c>
      <c r="AT9" s="1">
        <f>AVERAGE(AT$3:AT$6)</f>
        <v>0</v>
      </c>
      <c r="AU9" s="1">
        <f>AVERAGE(AU$3:AU$6)</f>
        <v>0</v>
      </c>
      <c r="AV9" s="1">
        <f>AVERAGE(AV$3:AV$6)</f>
        <v>0</v>
      </c>
      <c r="AW9" s="1">
        <f>AVERAGE(AW$3:AW$6)</f>
        <v>0</v>
      </c>
      <c r="AX9" s="1">
        <f>AVERAGE(AX$3:AX$6)</f>
        <v>0</v>
      </c>
      <c r="AY9" s="1">
        <f>AVERAGE(AY$3:AY$6)</f>
        <v>0</v>
      </c>
      <c r="AZ9" s="1">
        <f>AVERAGE(AZ$3:AZ$6)</f>
        <v>0</v>
      </c>
    </row>
    <row r="10" spans="1:52">
      <c r="A10" s="1" t="s">
        <v>6</v>
      </c>
      <c r="B10" s="1">
        <f>STDEV(B$3:B$6)</f>
        <v>0</v>
      </c>
      <c r="C10" s="1">
        <f>STDEV(C$3:C$6)</f>
        <v>0</v>
      </c>
      <c r="D10" s="1"/>
      <c r="E10" s="1">
        <f>STDEV(E$3:E$6)</f>
        <v>0</v>
      </c>
      <c r="F10" s="1">
        <f>STDEV(F$3:F$6)</f>
        <v>0</v>
      </c>
      <c r="G10" s="1">
        <f>STDEV(G$3:G$6)</f>
        <v>0</v>
      </c>
      <c r="H10" s="1">
        <f>STDEV(H$3:H$6)</f>
        <v>0</v>
      </c>
      <c r="I10" s="1">
        <f>STDEV(I$3:I$6)</f>
        <v>0</v>
      </c>
      <c r="J10" s="1"/>
      <c r="K10" s="1">
        <f>STDEV(K$3:K$6)</f>
        <v>0</v>
      </c>
      <c r="L10" s="1">
        <f>STDEV(L$3:L$6)</f>
        <v>0</v>
      </c>
      <c r="M10" s="1">
        <f>STDEV(M$3:M$6)</f>
        <v>0</v>
      </c>
      <c r="N10" s="1">
        <f>STDEV(N$3:N$6)</f>
        <v>0</v>
      </c>
      <c r="O10" s="1">
        <f>STDEV(O$3:O$6)</f>
        <v>0</v>
      </c>
      <c r="P10" s="1"/>
      <c r="Q10" s="1">
        <f>STDEV(Q$3:Q$6)</f>
        <v>0</v>
      </c>
      <c r="R10" s="1">
        <f>STDEV(R$3:R$6)</f>
        <v>0</v>
      </c>
      <c r="S10" s="1">
        <f>STDEV(S$3:S$6)</f>
        <v>0</v>
      </c>
      <c r="T10" s="1">
        <f>STDEV(T$3:T$6)</f>
        <v>0</v>
      </c>
      <c r="U10" s="1">
        <f>STDEV(U$3:U$6)</f>
        <v>0</v>
      </c>
      <c r="V10" s="1"/>
      <c r="W10" s="1">
        <f>STDEV(W$3:W$6)</f>
        <v>0</v>
      </c>
      <c r="X10" s="1">
        <f>STDEV(X$3:X$6)</f>
        <v>0</v>
      </c>
      <c r="Y10" s="1">
        <f>STDEV(Y$3:Y$6)</f>
        <v>0</v>
      </c>
      <c r="Z10" s="1">
        <f>STDEV(Z$3:Z$6)</f>
        <v>0</v>
      </c>
      <c r="AA10" s="1">
        <f>STDEV(AA$3:AA$6)</f>
        <v>0</v>
      </c>
      <c r="AB10" s="1"/>
      <c r="AC10" s="1">
        <f>STDEV(AC$3:AC$6)</f>
        <v>0</v>
      </c>
      <c r="AD10" s="1">
        <f>STDEV(AD$3:AD$6)</f>
        <v>0</v>
      </c>
      <c r="AE10" s="1">
        <f>STDEV(AE$3:AE$6)</f>
        <v>0</v>
      </c>
      <c r="AF10" s="1">
        <f>STDEV(AF$3:AF$6)</f>
        <v>0</v>
      </c>
      <c r="AG10" s="1">
        <f>STDEV(AG$3:AG$6)</f>
        <v>0</v>
      </c>
      <c r="AH10" s="1"/>
      <c r="AI10" s="1">
        <f>STDEV(AI$3:AI$6)</f>
        <v>0</v>
      </c>
      <c r="AJ10" s="1">
        <f>STDEV(AJ$3:AJ$6)</f>
        <v>0</v>
      </c>
      <c r="AK10" s="1">
        <f>STDEV(AK$3:AK$6)</f>
        <v>0</v>
      </c>
      <c r="AL10" s="1">
        <f>STDEV(AL$3:AL$6)</f>
        <v>0</v>
      </c>
      <c r="AM10" s="1">
        <f>STDEV(AM$3:AM$6)</f>
        <v>0</v>
      </c>
      <c r="AN10" s="1">
        <f>STDEV(AN$3:AN$6)</f>
        <v>0</v>
      </c>
      <c r="AO10" s="1">
        <f>STDEV(AO$3:AO$6)</f>
        <v>0</v>
      </c>
      <c r="AP10" s="1">
        <f>STDEV(AP$3:AP$6)</f>
        <v>0</v>
      </c>
      <c r="AQ10" s="1">
        <f>STDEV(AQ$3:AQ$6)</f>
        <v>0</v>
      </c>
      <c r="AR10" s="1">
        <f>STDEV(AR$3:AR$6)</f>
        <v>0</v>
      </c>
      <c r="AS10" s="1">
        <f>STDEV(AS$3:AS$6)</f>
        <v>0</v>
      </c>
      <c r="AT10" s="1">
        <f>STDEV(AT$3:AT$6)</f>
        <v>0</v>
      </c>
      <c r="AU10" s="1">
        <f>STDEV(AU$3:AU$6)</f>
        <v>0</v>
      </c>
      <c r="AV10" s="1">
        <f>STDEV(AV$3:AV$6)</f>
        <v>0</v>
      </c>
      <c r="AW10" s="1">
        <f>STDEV(AW$3:AW$6)</f>
        <v>0</v>
      </c>
      <c r="AX10" s="1">
        <f>STDEV(AX$3:AX$6)</f>
        <v>0</v>
      </c>
      <c r="AY10" s="1">
        <f>STDEV(AY$3:AY$6)</f>
        <v>0</v>
      </c>
      <c r="AZ10" s="1">
        <f>STDEV(AZ$3:AZ$6)</f>
        <v>0</v>
      </c>
    </row>
    <row r="11" spans="1:52">
      <c r="A11" s="1" t="s">
        <v>7</v>
      </c>
      <c r="B11" s="1">
        <f>SUMPRODUCT(--(B$3:B$6-$AL$3:$AL$6)^2)^0.5</f>
        <v>0</v>
      </c>
      <c r="C11" s="1">
        <f>SUMPRODUCT(--(C$3:C$6-$AM$3:$AM$6)^2)^0.5</f>
        <v>0</v>
      </c>
      <c r="D11" s="1"/>
      <c r="E11" s="1">
        <f>SUMPRODUCT(--(E$3:E$6-$AN$3:$AN$6)^2)^0.5</f>
        <v>0</v>
      </c>
      <c r="F11" s="1">
        <f>SUMPRODUCT(--(F$3:F$6-$AO$3:$AO$6)^2)^0.5</f>
        <v>0</v>
      </c>
      <c r="G11" s="1">
        <f>SUMPRODUCT(--(G$3:G$6-$AP$3:$AP$6)^2)^0.5</f>
        <v>0</v>
      </c>
      <c r="H11" s="1">
        <f>SUMPRODUCT(--(H$3:H$6-$AL$3:$AL$6)^2)^0.5</f>
        <v>0</v>
      </c>
      <c r="I11" s="1">
        <f>SUMPRODUCT(--(I$3:I$6-$AM$3:$AM$6)^2)^0.5</f>
        <v>0</v>
      </c>
      <c r="J11" s="1"/>
      <c r="K11" s="1">
        <f>SUMPRODUCT(--(K$3:K$6-$AN$3:$AN$6)^2)^0.5</f>
        <v>0</v>
      </c>
      <c r="L11" s="1">
        <f>SUMPRODUCT(--(L$3:L$6-$AO$3:$AO$6)^2)^0.5</f>
        <v>0</v>
      </c>
      <c r="M11" s="1">
        <f>SUMPRODUCT(--(M$3:M$6-$AP$3:$AP$6)^2)^0.5</f>
        <v>0</v>
      </c>
      <c r="N11" s="1">
        <f>SUMPRODUCT(--(N$3:N$6-$AL$3:$AL$6)^2)^0.5</f>
        <v>0</v>
      </c>
      <c r="O11" s="1">
        <f>SUMPRODUCT(--(O$3:O$6-$AM$3:$AM$6)^2)^0.5</f>
        <v>0</v>
      </c>
      <c r="P11" s="1"/>
      <c r="Q11" s="1">
        <f>SUMPRODUCT(--(Q$3:Q$6-$AN$3:$AN$6)^2)^0.5</f>
        <v>0</v>
      </c>
      <c r="R11" s="1">
        <f>SUMPRODUCT(--(R$3:R$6-$AO$3:$AO$6)^2)^0.5</f>
        <v>0</v>
      </c>
      <c r="S11" s="1">
        <f>SUMPRODUCT(--(S$3:S$6-$AP$3:$AP$6)^2)^0.5</f>
        <v>0</v>
      </c>
      <c r="T11" s="1">
        <f>SUMPRODUCT(--(T$3:T$6-$AL$3:$AL$6)^2)^0.5</f>
        <v>0</v>
      </c>
      <c r="U11" s="1">
        <f>SUMPRODUCT(--(U$3:U$6-$AM$3:$AM$6)^2)^0.5</f>
        <v>0</v>
      </c>
      <c r="V11" s="1"/>
      <c r="W11" s="1">
        <f>SUMPRODUCT(--(W$3:W$6-$AN$3:$AN$6)^2)^0.5</f>
        <v>0</v>
      </c>
      <c r="X11" s="1">
        <f>SUMPRODUCT(--(X$3:X$6-$AO$3:$AO$6)^2)^0.5</f>
        <v>0</v>
      </c>
      <c r="Y11" s="1">
        <f>SUMPRODUCT(--(Y$3:Y$6-$AP$3:$AP$6)^2)^0.5</f>
        <v>0</v>
      </c>
      <c r="Z11" s="1">
        <f>SUMPRODUCT(--(Z$3:Z$6-$AL$3:$AL$6)^2)^0.5</f>
        <v>0</v>
      </c>
      <c r="AA11" s="1">
        <f>SUMPRODUCT(--(AA$3:AA$6-$AM$3:$AM$6)^2)^0.5</f>
        <v>0</v>
      </c>
      <c r="AB11" s="1"/>
      <c r="AC11" s="1">
        <f>SUMPRODUCT(--(AC$3:AC$6-$AN$3:$AN$6)^2)^0.5</f>
        <v>0</v>
      </c>
      <c r="AD11" s="1">
        <f>SUMPRODUCT(--(AD$3:AD$6-$AO$3:$AO$6)^2)^0.5</f>
        <v>0</v>
      </c>
      <c r="AE11" s="1">
        <f>SUMPRODUCT(--(AE$3:AE$6-$AP$3:$AP$6)^2)^0.5</f>
        <v>0</v>
      </c>
      <c r="AF11" s="1">
        <f>SUMPRODUCT(--(AF$3:AF$6-$AL$3:$AL$6)^2)^0.5</f>
        <v>0</v>
      </c>
      <c r="AG11" s="1">
        <f>SUMPRODUCT(--(AG$3:AG$6-$AM$3:$AM$6)^2)^0.5</f>
        <v>0</v>
      </c>
      <c r="AH11" s="1"/>
      <c r="AI11" s="1">
        <f>SUMPRODUCT(--(AI$3:AI$6-$AN$3:$AN$6)^2)^0.5</f>
        <v>0</v>
      </c>
      <c r="AJ11" s="1">
        <f>SUMPRODUCT(--(AJ$3:AJ$6-$AO$3:$AO$6)^2)^0.5</f>
        <v>0</v>
      </c>
      <c r="AK11" s="1">
        <f>SUMPRODUCT(--(AK$3:AK$6-$AP$3:$AP$6)^2)^0.5</f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>
      <c r="A12" s="1" t="s">
        <v>8</v>
      </c>
      <c r="B12" s="1">
        <f>SUMPRODUCT(NOT(ISBLANK(B$3:B$6))*(B$3:B$6=$AL$3:$AL$6))</f>
        <v>0</v>
      </c>
      <c r="C12" s="1">
        <f>SUMPRODUCT(NOT(ISBLANK(C$3:C$6))*(C$3:C$6=$AM$3:$AM$6))</f>
        <v>0</v>
      </c>
      <c r="D12" s="1"/>
      <c r="E12" s="1">
        <f>SUMPRODUCT(NOT(ISBLANK(E$3:E$6))*(E$3:E$6=$AN$3:$AN$6))</f>
        <v>0</v>
      </c>
      <c r="F12" s="1">
        <f>SUMPRODUCT(NOT(ISBLANK(F$3:F$6))*(F$3:F$6=$AO$3:$AO$6))</f>
        <v>0</v>
      </c>
      <c r="G12" s="1">
        <f>SUMPRODUCT(NOT(ISBLANK(G$3:G$6))*(G$3:G$6=$AP$3:$AP$6))</f>
        <v>0</v>
      </c>
      <c r="H12" s="1">
        <f>SUMPRODUCT(NOT(ISBLANK(H$3:H$6))*(H$3:H$6=$AL$3:$AL$6))</f>
        <v>0</v>
      </c>
      <c r="I12" s="1">
        <f>SUMPRODUCT(NOT(ISBLANK(I$3:I$6))*(I$3:I$6=$AM$3:$AM$6))</f>
        <v>0</v>
      </c>
      <c r="J12" s="1"/>
      <c r="K12" s="1">
        <f>SUMPRODUCT(NOT(ISBLANK(K$3:K$6))*(K$3:K$6=$AN$3:$AN$6))</f>
        <v>0</v>
      </c>
      <c r="L12" s="1">
        <f>SUMPRODUCT(NOT(ISBLANK(L$3:L$6))*(L$3:L$6=$AO$3:$AO$6))</f>
        <v>0</v>
      </c>
      <c r="M12" s="1">
        <f>SUMPRODUCT(NOT(ISBLANK(M$3:M$6))*(M$3:M$6=$AP$3:$AP$6))</f>
        <v>0</v>
      </c>
      <c r="N12" s="1">
        <f>SUMPRODUCT(NOT(ISBLANK(N$3:N$6))*(N$3:N$6=$AL$3:$AL$6))</f>
        <v>0</v>
      </c>
      <c r="O12" s="1">
        <f>SUMPRODUCT(NOT(ISBLANK(O$3:O$6))*(O$3:O$6=$AM$3:$AM$6))</f>
        <v>0</v>
      </c>
      <c r="P12" s="1"/>
      <c r="Q12" s="1">
        <f>SUMPRODUCT(NOT(ISBLANK(Q$3:Q$6))*(Q$3:Q$6=$AN$3:$AN$6))</f>
        <v>0</v>
      </c>
      <c r="R12" s="1">
        <f>SUMPRODUCT(NOT(ISBLANK(R$3:R$6))*(R$3:R$6=$AO$3:$AO$6))</f>
        <v>0</v>
      </c>
      <c r="S12" s="1">
        <f>SUMPRODUCT(NOT(ISBLANK(S$3:S$6))*(S$3:S$6=$AP$3:$AP$6))</f>
        <v>0</v>
      </c>
      <c r="T12" s="1">
        <f>SUMPRODUCT(NOT(ISBLANK(T$3:T$6))*(T$3:T$6=$AL$3:$AL$6))</f>
        <v>0</v>
      </c>
      <c r="U12" s="1">
        <f>SUMPRODUCT(NOT(ISBLANK(U$3:U$6))*(U$3:U$6=$AM$3:$AM$6))</f>
        <v>0</v>
      </c>
      <c r="V12" s="1"/>
      <c r="W12" s="1">
        <f>SUMPRODUCT(NOT(ISBLANK(W$3:W$6))*(W$3:W$6=$AN$3:$AN$6))</f>
        <v>0</v>
      </c>
      <c r="X12" s="1">
        <f>SUMPRODUCT(NOT(ISBLANK(X$3:X$6))*(X$3:X$6=$AO$3:$AO$6))</f>
        <v>0</v>
      </c>
      <c r="Y12" s="1">
        <f>SUMPRODUCT(NOT(ISBLANK(Y$3:Y$6))*(Y$3:Y$6=$AP$3:$AP$6))</f>
        <v>0</v>
      </c>
      <c r="Z12" s="1">
        <f>SUMPRODUCT(NOT(ISBLANK(Z$3:Z$6))*(Z$3:Z$6=$AL$3:$AL$6))</f>
        <v>0</v>
      </c>
      <c r="AA12" s="1">
        <f>SUMPRODUCT(NOT(ISBLANK(AA$3:AA$6))*(AA$3:AA$6=$AM$3:$AM$6))</f>
        <v>0</v>
      </c>
      <c r="AB12" s="1"/>
      <c r="AC12" s="1">
        <f>SUMPRODUCT(NOT(ISBLANK(AC$3:AC$6))*(AC$3:AC$6=$AN$3:$AN$6))</f>
        <v>0</v>
      </c>
      <c r="AD12" s="1">
        <f>SUMPRODUCT(NOT(ISBLANK(AD$3:AD$6))*(AD$3:AD$6=$AO$3:$AO$6))</f>
        <v>0</v>
      </c>
      <c r="AE12" s="1">
        <f>SUMPRODUCT(NOT(ISBLANK(AE$3:AE$6))*(AE$3:AE$6=$AP$3:$AP$6))</f>
        <v>0</v>
      </c>
      <c r="AF12" s="1">
        <f>SUMPRODUCT(NOT(ISBLANK(AF$3:AF$6))*(AF$3:AF$6=$AL$3:$AL$6))</f>
        <v>0</v>
      </c>
      <c r="AG12" s="1">
        <f>SUMPRODUCT(NOT(ISBLANK(AG$3:AG$6))*(AG$3:AG$6=$AM$3:$AM$6))</f>
        <v>0</v>
      </c>
      <c r="AH12" s="1"/>
      <c r="AI12" s="1">
        <f>SUMPRODUCT(NOT(ISBLANK(AI$3:AI$6))*(AI$3:AI$6=$AN$3:$AN$6))</f>
        <v>0</v>
      </c>
      <c r="AJ12" s="1">
        <f>SUMPRODUCT(NOT(ISBLANK(AJ$3:AJ$6))*(AJ$3:AJ$6=$AO$3:$AO$6))</f>
        <v>0</v>
      </c>
      <c r="AK12" s="1">
        <f>SUMPRODUCT(NOT(ISBLANK(AK$3:AK$6))*(AK$3:AK$6=$AP$3:$AP$6))</f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>
      <c r="A13" s="1" t="s">
        <v>9</v>
      </c>
      <c r="B13" s="1">
        <f>SUMPRODUCT(NOT(ISBLANK(B$3:B$6))*(B$3:B$6&lt;$AQ$3:$AQ$6))</f>
        <v>0</v>
      </c>
      <c r="C13" s="1">
        <f>SUMPRODUCT(NOT(ISBLANK(C$3:C$6))*(C$3:C$6&lt;$AR$3:$AR$6))</f>
        <v>0</v>
      </c>
      <c r="D13" s="1"/>
      <c r="E13" s="1">
        <f>SUMPRODUCT(NOT(ISBLANK(E$3:E$6))*(E$3:E$6&lt;$AS$3:$AS$6))</f>
        <v>0</v>
      </c>
      <c r="F13" s="1">
        <f>SUMPRODUCT(NOT(ISBLANK(F$3:F$6))*(F$3:F$6&lt;$AT$3:$AT$6))</f>
        <v>0</v>
      </c>
      <c r="G13" s="1">
        <f>SUMPRODUCT(NOT(ISBLANK(G$3:G$6))*(G$3:G$6&lt;$AU$3:$AU$6))</f>
        <v>0</v>
      </c>
      <c r="H13" s="1">
        <f>SUMPRODUCT(NOT(ISBLANK(H$3:H$6))*(H$3:H$6&lt;$AQ$3:$AQ$6))</f>
        <v>0</v>
      </c>
      <c r="I13" s="1">
        <f>SUMPRODUCT(NOT(ISBLANK(I$3:I$6))*(I$3:I$6&lt;$AR$3:$AR$6))</f>
        <v>0</v>
      </c>
      <c r="J13" s="1"/>
      <c r="K13" s="1">
        <f>SUMPRODUCT(NOT(ISBLANK(K$3:K$6))*(K$3:K$6&lt;$AS$3:$AS$6))</f>
        <v>0</v>
      </c>
      <c r="L13" s="1">
        <f>SUMPRODUCT(NOT(ISBLANK(L$3:L$6))*(L$3:L$6&lt;$AT$3:$AT$6))</f>
        <v>0</v>
      </c>
      <c r="M13" s="1">
        <f>SUMPRODUCT(NOT(ISBLANK(M$3:M$6))*(M$3:M$6&lt;$AU$3:$AU$6))</f>
        <v>0</v>
      </c>
      <c r="N13" s="1">
        <f>SUMPRODUCT(NOT(ISBLANK(N$3:N$6))*(N$3:N$6&lt;$AQ$3:$AQ$6))</f>
        <v>0</v>
      </c>
      <c r="O13" s="1">
        <f>SUMPRODUCT(NOT(ISBLANK(O$3:O$6))*(O$3:O$6&lt;$AR$3:$AR$6))</f>
        <v>0</v>
      </c>
      <c r="P13" s="1"/>
      <c r="Q13" s="1">
        <f>SUMPRODUCT(NOT(ISBLANK(Q$3:Q$6))*(Q$3:Q$6&lt;$AS$3:$AS$6))</f>
        <v>0</v>
      </c>
      <c r="R13" s="1">
        <f>SUMPRODUCT(NOT(ISBLANK(R$3:R$6))*(R$3:R$6&lt;$AT$3:$AT$6))</f>
        <v>0</v>
      </c>
      <c r="S13" s="1">
        <f>SUMPRODUCT(NOT(ISBLANK(S$3:S$6))*(S$3:S$6&lt;$AU$3:$AU$6))</f>
        <v>0</v>
      </c>
      <c r="T13" s="1">
        <f>SUMPRODUCT(NOT(ISBLANK(T$3:T$6))*(T$3:T$6&lt;$AQ$3:$AQ$6))</f>
        <v>0</v>
      </c>
      <c r="U13" s="1">
        <f>SUMPRODUCT(NOT(ISBLANK(U$3:U$6))*(U$3:U$6&lt;$AR$3:$AR$6))</f>
        <v>0</v>
      </c>
      <c r="V13" s="1"/>
      <c r="W13" s="1">
        <f>SUMPRODUCT(NOT(ISBLANK(W$3:W$6))*(W$3:W$6&lt;$AS$3:$AS$6))</f>
        <v>0</v>
      </c>
      <c r="X13" s="1">
        <f>SUMPRODUCT(NOT(ISBLANK(X$3:X$6))*(X$3:X$6&lt;$AT$3:$AT$6))</f>
        <v>0</v>
      </c>
      <c r="Y13" s="1">
        <f>SUMPRODUCT(NOT(ISBLANK(Y$3:Y$6))*(Y$3:Y$6&lt;$AU$3:$AU$6))</f>
        <v>0</v>
      </c>
      <c r="Z13" s="1">
        <f>SUMPRODUCT(NOT(ISBLANK(Z$3:Z$6))*(Z$3:Z$6&lt;$AQ$3:$AQ$6))</f>
        <v>0</v>
      </c>
      <c r="AA13" s="1">
        <f>SUMPRODUCT(NOT(ISBLANK(AA$3:AA$6))*(AA$3:AA$6&lt;$AR$3:$AR$6))</f>
        <v>0</v>
      </c>
      <c r="AB13" s="1"/>
      <c r="AC13" s="1">
        <f>SUMPRODUCT(NOT(ISBLANK(AC$3:AC$6))*(AC$3:AC$6&lt;$AS$3:$AS$6))</f>
        <v>0</v>
      </c>
      <c r="AD13" s="1">
        <f>SUMPRODUCT(NOT(ISBLANK(AD$3:AD$6))*(AD$3:AD$6&lt;$AT$3:$AT$6))</f>
        <v>0</v>
      </c>
      <c r="AE13" s="1">
        <f>SUMPRODUCT(NOT(ISBLANK(AE$3:AE$6))*(AE$3:AE$6&lt;$AU$3:$AU$6))</f>
        <v>0</v>
      </c>
      <c r="AF13" s="1">
        <f>SUMPRODUCT(NOT(ISBLANK(AF$3:AF$6))*(AF$3:AF$6&lt;$AQ$3:$AQ$6))</f>
        <v>0</v>
      </c>
      <c r="AG13" s="1">
        <f>SUMPRODUCT(NOT(ISBLANK(AG$3:AG$6))*(AG$3:AG$6&lt;$AR$3:$AR$6))</f>
        <v>0</v>
      </c>
      <c r="AH13" s="1"/>
      <c r="AI13" s="1">
        <f>SUMPRODUCT(NOT(ISBLANK(AI$3:AI$6))*(AI$3:AI$6&lt;$AS$3:$AS$6))</f>
        <v>0</v>
      </c>
      <c r="AJ13" s="1">
        <f>SUMPRODUCT(NOT(ISBLANK(AJ$3:AJ$6))*(AJ$3:AJ$6&lt;$AT$3:$AT$6))</f>
        <v>0</v>
      </c>
      <c r="AK13" s="1">
        <f>SUMPRODUCT(NOT(ISBLANK(AK$3:AK$6))*(AK$3:AK$6&lt;$AU$3:$AU$6))</f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>
      <c r="A14" s="1" t="s">
        <v>10</v>
      </c>
      <c r="B14" s="1">
        <f>SUMPRODUCT((NOT(ISBLANK(B$3:B$6))*(B$3:B$6&gt;$AQ$3:$AQ$6))+ISBLANK(B$3:B$6))</f>
        <v>0</v>
      </c>
      <c r="C14" s="1">
        <f>SUMPRODUCT((NOT(ISBLANK(C$3:C$6))*(C$3:C$6&gt;$AR$3:$AR$6))+ISBLANK(C$3:C$6))</f>
        <v>0</v>
      </c>
      <c r="D14" s="1"/>
      <c r="E14" s="1">
        <f>SUMPRODUCT((NOT(ISBLANK(E$3:E$6))*(E$3:E$6&gt;$AS$3:$AS$6))+ISBLANK(E$3:E$6))</f>
        <v>0</v>
      </c>
      <c r="F14" s="1">
        <f>SUMPRODUCT((NOT(ISBLANK(F$3:F$6))*(F$3:F$6&gt;$AT$3:$AT$6))+ISBLANK(F$3:F$6))</f>
        <v>0</v>
      </c>
      <c r="G14" s="1">
        <f>SUMPRODUCT((NOT(ISBLANK(G$3:G$6))*(G$3:G$6&gt;$AU$3:$AU$6))+ISBLANK(G$3:G$6))</f>
        <v>0</v>
      </c>
      <c r="H14" s="1">
        <f>SUMPRODUCT((NOT(ISBLANK(H$3:H$6))*(H$3:H$6&gt;$AQ$3:$AQ$6))+ISBLANK(H$3:H$6))</f>
        <v>0</v>
      </c>
      <c r="I14" s="1">
        <f>SUMPRODUCT((NOT(ISBLANK(I$3:I$6))*(I$3:I$6&gt;$AR$3:$AR$6))+ISBLANK(I$3:I$6))</f>
        <v>0</v>
      </c>
      <c r="J14" s="1"/>
      <c r="K14" s="1">
        <f>SUMPRODUCT((NOT(ISBLANK(K$3:K$6))*(K$3:K$6&gt;$AS$3:$AS$6))+ISBLANK(K$3:K$6))</f>
        <v>0</v>
      </c>
      <c r="L14" s="1">
        <f>SUMPRODUCT((NOT(ISBLANK(L$3:L$6))*(L$3:L$6&gt;$AT$3:$AT$6))+ISBLANK(L$3:L$6))</f>
        <v>0</v>
      </c>
      <c r="M14" s="1">
        <f>SUMPRODUCT((NOT(ISBLANK(M$3:M$6))*(M$3:M$6&gt;$AU$3:$AU$6))+ISBLANK(M$3:M$6))</f>
        <v>0</v>
      </c>
      <c r="N14" s="1">
        <f>SUMPRODUCT((NOT(ISBLANK(N$3:N$6))*(N$3:N$6&gt;$AQ$3:$AQ$6))+ISBLANK(N$3:N$6))</f>
        <v>0</v>
      </c>
      <c r="O14" s="1">
        <f>SUMPRODUCT((NOT(ISBLANK(O$3:O$6))*(O$3:O$6&gt;$AR$3:$AR$6))+ISBLANK(O$3:O$6))</f>
        <v>0</v>
      </c>
      <c r="P14" s="1"/>
      <c r="Q14" s="1">
        <f>SUMPRODUCT((NOT(ISBLANK(Q$3:Q$6))*(Q$3:Q$6&gt;$AS$3:$AS$6))+ISBLANK(Q$3:Q$6))</f>
        <v>0</v>
      </c>
      <c r="R14" s="1">
        <f>SUMPRODUCT((NOT(ISBLANK(R$3:R$6))*(R$3:R$6&gt;$AT$3:$AT$6))+ISBLANK(R$3:R$6))</f>
        <v>0</v>
      </c>
      <c r="S14" s="1">
        <f>SUMPRODUCT((NOT(ISBLANK(S$3:S$6))*(S$3:S$6&gt;$AU$3:$AU$6))+ISBLANK(S$3:S$6))</f>
        <v>0</v>
      </c>
      <c r="T14" s="1">
        <f>SUMPRODUCT((NOT(ISBLANK(T$3:T$6))*(T$3:T$6&gt;$AQ$3:$AQ$6))+ISBLANK(T$3:T$6))</f>
        <v>0</v>
      </c>
      <c r="U14" s="1">
        <f>SUMPRODUCT((NOT(ISBLANK(U$3:U$6))*(U$3:U$6&gt;$AR$3:$AR$6))+ISBLANK(U$3:U$6))</f>
        <v>0</v>
      </c>
      <c r="V14" s="1"/>
      <c r="W14" s="1">
        <f>SUMPRODUCT((NOT(ISBLANK(W$3:W$6))*(W$3:W$6&gt;$AS$3:$AS$6))+ISBLANK(W$3:W$6))</f>
        <v>0</v>
      </c>
      <c r="X14" s="1">
        <f>SUMPRODUCT((NOT(ISBLANK(X$3:X$6))*(X$3:X$6&gt;$AT$3:$AT$6))+ISBLANK(X$3:X$6))</f>
        <v>0</v>
      </c>
      <c r="Y14" s="1">
        <f>SUMPRODUCT((NOT(ISBLANK(Y$3:Y$6))*(Y$3:Y$6&gt;$AU$3:$AU$6))+ISBLANK(Y$3:Y$6))</f>
        <v>0</v>
      </c>
      <c r="Z14" s="1">
        <f>SUMPRODUCT((NOT(ISBLANK(Z$3:Z$6))*(Z$3:Z$6&gt;$AQ$3:$AQ$6))+ISBLANK(Z$3:Z$6))</f>
        <v>0</v>
      </c>
      <c r="AA14" s="1">
        <f>SUMPRODUCT((NOT(ISBLANK(AA$3:AA$6))*(AA$3:AA$6&gt;$AR$3:$AR$6))+ISBLANK(AA$3:AA$6))</f>
        <v>0</v>
      </c>
      <c r="AB14" s="1"/>
      <c r="AC14" s="1">
        <f>SUMPRODUCT((NOT(ISBLANK(AC$3:AC$6))*(AC$3:AC$6&gt;$AS$3:$AS$6))+ISBLANK(AC$3:AC$6))</f>
        <v>0</v>
      </c>
      <c r="AD14" s="1">
        <f>SUMPRODUCT((NOT(ISBLANK(AD$3:AD$6))*(AD$3:AD$6&gt;$AT$3:$AT$6))+ISBLANK(AD$3:AD$6))</f>
        <v>0</v>
      </c>
      <c r="AE14" s="1">
        <f>SUMPRODUCT((NOT(ISBLANK(AE$3:AE$6))*(AE$3:AE$6&gt;$AU$3:$AU$6))+ISBLANK(AE$3:AE$6))</f>
        <v>0</v>
      </c>
      <c r="AF14" s="1">
        <f>SUMPRODUCT((NOT(ISBLANK(AF$3:AF$6))*(AF$3:AF$6&gt;$AQ$3:$AQ$6))+ISBLANK(AF$3:AF$6))</f>
        <v>0</v>
      </c>
      <c r="AG14" s="1">
        <f>SUMPRODUCT((NOT(ISBLANK(AG$3:AG$6))*(AG$3:AG$6&gt;$AR$3:$AR$6))+ISBLANK(AG$3:AG$6))</f>
        <v>0</v>
      </c>
      <c r="AH14" s="1"/>
      <c r="AI14" s="1">
        <f>SUMPRODUCT((NOT(ISBLANK(AI$3:AI$6))*(AI$3:AI$6&gt;$AS$3:$AS$6))+ISBLANK(AI$3:AI$6))</f>
        <v>0</v>
      </c>
      <c r="AJ14" s="1">
        <f>SUMPRODUCT((NOT(ISBLANK(AJ$3:AJ$6))*(AJ$3:AJ$6&gt;$AT$3:$AT$6))+ISBLANK(AJ$3:AJ$6))</f>
        <v>0</v>
      </c>
      <c r="AK14" s="1">
        <f>SUMPRODUCT((NOT(ISBLANK(AK$3:AK$6))*(AK$3:AK$6&gt;$AU$3:$AU$6))+ISBLANK(AK$3:AK$6))</f>
        <v>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>
      <c r="A15" s="1" t="s">
        <v>11</v>
      </c>
      <c r="B15" s="1">
        <f>SUMPRODUCT((NOT(ISBLANK(B$3:B$6))*(B$3:B$6=$AV$3:$AV$6))+ISBLANK(B$3:B$6))</f>
        <v>0</v>
      </c>
      <c r="C15" s="1">
        <f>SUMPRODUCT((NOT(ISBLANK(C$3:C$6))*(C$3:C$6=$AW$3:$AW$6))+ISBLANK(C$3:C$6))</f>
        <v>0</v>
      </c>
      <c r="D15" s="1"/>
      <c r="E15" s="1">
        <f>SUMPRODUCT((NOT(ISBLANK(E$3:E$6))*(E$3:E$6=$AX$3:$AX$6))+ISBLANK(E$3:E$6))</f>
        <v>0</v>
      </c>
      <c r="F15" s="1">
        <f>SUMPRODUCT((NOT(ISBLANK(F$3:F$6))*(F$3:F$6=$AY$3:$AY$6))+ISBLANK(F$3:F$6))</f>
        <v>0</v>
      </c>
      <c r="G15" s="1">
        <f>SUMPRODUCT((NOT(ISBLANK(G$3:G$6))*(G$3:G$6=$AZ$3:$AZ$6))+ISBLANK(G$3:G$6))</f>
        <v>0</v>
      </c>
      <c r="H15" s="1">
        <f>SUMPRODUCT((NOT(ISBLANK(H$3:H$6))*(H$3:H$6=$AV$3:$AV$6))+ISBLANK(H$3:H$6))</f>
        <v>0</v>
      </c>
      <c r="I15" s="1">
        <f>SUMPRODUCT((NOT(ISBLANK(I$3:I$6))*(I$3:I$6=$AW$3:$AW$6))+ISBLANK(I$3:I$6))</f>
        <v>0</v>
      </c>
      <c r="J15" s="1"/>
      <c r="K15" s="1">
        <f>SUMPRODUCT((NOT(ISBLANK(K$3:K$6))*(K$3:K$6=$AX$3:$AX$6))+ISBLANK(K$3:K$6))</f>
        <v>0</v>
      </c>
      <c r="L15" s="1">
        <f>SUMPRODUCT((NOT(ISBLANK(L$3:L$6))*(L$3:L$6=$AY$3:$AY$6))+ISBLANK(L$3:L$6))</f>
        <v>0</v>
      </c>
      <c r="M15" s="1">
        <f>SUMPRODUCT((NOT(ISBLANK(M$3:M$6))*(M$3:M$6=$AZ$3:$AZ$6))+ISBLANK(M$3:M$6))</f>
        <v>0</v>
      </c>
      <c r="N15" s="1">
        <f>SUMPRODUCT((NOT(ISBLANK(N$3:N$6))*(N$3:N$6=$AV$3:$AV$6))+ISBLANK(N$3:N$6))</f>
        <v>0</v>
      </c>
      <c r="O15" s="1">
        <f>SUMPRODUCT((NOT(ISBLANK(O$3:O$6))*(O$3:O$6=$AW$3:$AW$6))+ISBLANK(O$3:O$6))</f>
        <v>0</v>
      </c>
      <c r="P15" s="1"/>
      <c r="Q15" s="1">
        <f>SUMPRODUCT((NOT(ISBLANK(Q$3:Q$6))*(Q$3:Q$6=$AX$3:$AX$6))+ISBLANK(Q$3:Q$6))</f>
        <v>0</v>
      </c>
      <c r="R15" s="1">
        <f>SUMPRODUCT((NOT(ISBLANK(R$3:R$6))*(R$3:R$6=$AY$3:$AY$6))+ISBLANK(R$3:R$6))</f>
        <v>0</v>
      </c>
      <c r="S15" s="1">
        <f>SUMPRODUCT((NOT(ISBLANK(S$3:S$6))*(S$3:S$6=$AZ$3:$AZ$6))+ISBLANK(S$3:S$6))</f>
        <v>0</v>
      </c>
      <c r="T15" s="1">
        <f>SUMPRODUCT((NOT(ISBLANK(T$3:T$6))*(T$3:T$6=$AV$3:$AV$6))+ISBLANK(T$3:T$6))</f>
        <v>0</v>
      </c>
      <c r="U15" s="1">
        <f>SUMPRODUCT((NOT(ISBLANK(U$3:U$6))*(U$3:U$6=$AW$3:$AW$6))+ISBLANK(U$3:U$6))</f>
        <v>0</v>
      </c>
      <c r="V15" s="1"/>
      <c r="W15" s="1">
        <f>SUMPRODUCT((NOT(ISBLANK(W$3:W$6))*(W$3:W$6=$AX$3:$AX$6))+ISBLANK(W$3:W$6))</f>
        <v>0</v>
      </c>
      <c r="X15" s="1">
        <f>SUMPRODUCT((NOT(ISBLANK(X$3:X$6))*(X$3:X$6=$AY$3:$AY$6))+ISBLANK(X$3:X$6))</f>
        <v>0</v>
      </c>
      <c r="Y15" s="1">
        <f>SUMPRODUCT((NOT(ISBLANK(Y$3:Y$6))*(Y$3:Y$6=$AZ$3:$AZ$6))+ISBLANK(Y$3:Y$6))</f>
        <v>0</v>
      </c>
      <c r="Z15" s="1">
        <f>SUMPRODUCT((NOT(ISBLANK(Z$3:Z$6))*(Z$3:Z$6=$AV$3:$AV$6))+ISBLANK(Z$3:Z$6))</f>
        <v>0</v>
      </c>
      <c r="AA15" s="1">
        <f>SUMPRODUCT((NOT(ISBLANK(AA$3:AA$6))*(AA$3:AA$6=$AW$3:$AW$6))+ISBLANK(AA$3:AA$6))</f>
        <v>0</v>
      </c>
      <c r="AB15" s="1"/>
      <c r="AC15" s="1">
        <f>SUMPRODUCT((NOT(ISBLANK(AC$3:AC$6))*(AC$3:AC$6=$AX$3:$AX$6))+ISBLANK(AC$3:AC$6))</f>
        <v>0</v>
      </c>
      <c r="AD15" s="1">
        <f>SUMPRODUCT((NOT(ISBLANK(AD$3:AD$6))*(AD$3:AD$6=$AY$3:$AY$6))+ISBLANK(AD$3:AD$6))</f>
        <v>0</v>
      </c>
      <c r="AE15" s="1">
        <f>SUMPRODUCT((NOT(ISBLANK(AE$3:AE$6))*(AE$3:AE$6=$AZ$3:$AZ$6))+ISBLANK(AE$3:AE$6))</f>
        <v>0</v>
      </c>
      <c r="AF15" s="1">
        <f>SUMPRODUCT((NOT(ISBLANK(AF$3:AF$6))*(AF$3:AF$6=$AV$3:$AV$6))+ISBLANK(AF$3:AF$6))</f>
        <v>0</v>
      </c>
      <c r="AG15" s="1">
        <f>SUMPRODUCT((NOT(ISBLANK(AG$3:AG$6))*(AG$3:AG$6=$AW$3:$AW$6))+ISBLANK(AG$3:AG$6))</f>
        <v>0</v>
      </c>
      <c r="AH15" s="1"/>
      <c r="AI15" s="1">
        <f>SUMPRODUCT((NOT(ISBLANK(AI$3:AI$6))*(AI$3:AI$6=$AX$3:$AX$6))+ISBLANK(AI$3:AI$6))</f>
        <v>0</v>
      </c>
      <c r="AJ15" s="1">
        <f>SUMPRODUCT((NOT(ISBLANK(AJ$3:AJ$6))*(AJ$3:AJ$6=$AY$3:$AY$6))+ISBLANK(AJ$3:AJ$6))</f>
        <v>0</v>
      </c>
      <c r="AK15" s="1">
        <f>SUMPRODUCT((NOT(ISBLANK(AK$3:AK$6))*(AK$3:AK$6=$AZ$3:$AZ$6))+ISBLANK(AK$3:AK$6))</f>
        <v>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1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52" width="11.42578125" customWidth="1"/>
  </cols>
  <sheetData>
    <row r="1" spans="1:52">
      <c r="A1" s="1" t="s">
        <v>28</v>
      </c>
      <c r="B1" s="1" t="s">
        <v>12</v>
      </c>
      <c r="C1" s="1"/>
      <c r="D1" s="1"/>
      <c r="E1" s="1"/>
      <c r="F1" s="1"/>
      <c r="G1" s="1"/>
      <c r="H1" s="1" t="s">
        <v>20</v>
      </c>
      <c r="I1" s="1"/>
      <c r="J1" s="1"/>
      <c r="K1" s="1"/>
      <c r="L1" s="1"/>
      <c r="M1" s="1"/>
      <c r="N1" s="1" t="s">
        <v>21</v>
      </c>
      <c r="O1" s="1"/>
      <c r="P1" s="1"/>
      <c r="Q1" s="1"/>
      <c r="R1" s="1"/>
      <c r="S1" s="1"/>
      <c r="T1" s="1" t="s">
        <v>22</v>
      </c>
      <c r="U1" s="1"/>
      <c r="V1" s="1"/>
      <c r="W1" s="1"/>
      <c r="X1" s="1"/>
      <c r="Y1" s="1"/>
      <c r="Z1" s="1" t="s">
        <v>23</v>
      </c>
      <c r="AA1" s="1"/>
      <c r="AB1" s="1"/>
      <c r="AC1" s="1"/>
      <c r="AD1" s="1"/>
      <c r="AE1" s="1"/>
      <c r="AF1" s="1" t="s">
        <v>24</v>
      </c>
      <c r="AG1" s="1"/>
      <c r="AH1" s="1"/>
      <c r="AI1" s="1"/>
      <c r="AJ1" s="1"/>
      <c r="AK1" s="1"/>
      <c r="AL1" s="1" t="s">
        <v>25</v>
      </c>
      <c r="AM1" s="1"/>
      <c r="AN1" s="1"/>
      <c r="AO1" s="1"/>
      <c r="AP1" s="1"/>
      <c r="AQ1" s="1" t="s">
        <v>26</v>
      </c>
      <c r="AR1" s="1"/>
      <c r="AS1" s="1"/>
      <c r="AT1" s="1"/>
      <c r="AU1" s="1"/>
      <c r="AV1" s="1" t="s">
        <v>27</v>
      </c>
      <c r="AW1" s="1"/>
      <c r="AX1" s="1"/>
      <c r="AY1" s="1"/>
      <c r="AZ1" s="1"/>
    </row>
    <row r="2" spans="1:52">
      <c r="A2" s="2" t="s">
        <v>26</v>
      </c>
      <c r="B2" s="1" t="s">
        <v>13</v>
      </c>
      <c r="C2" s="1" t="s">
        <v>14</v>
      </c>
      <c r="D2" s="1" t="s">
        <v>15</v>
      </c>
      <c r="E2" s="1" t="s">
        <v>17</v>
      </c>
      <c r="F2" s="1" t="s">
        <v>18</v>
      </c>
      <c r="G2" s="1" t="s">
        <v>19</v>
      </c>
      <c r="H2" s="1" t="s">
        <v>13</v>
      </c>
      <c r="I2" s="1" t="s">
        <v>14</v>
      </c>
      <c r="J2" s="1" t="s">
        <v>15</v>
      </c>
      <c r="K2" s="1" t="s">
        <v>17</v>
      </c>
      <c r="L2" s="1" t="s">
        <v>18</v>
      </c>
      <c r="M2" s="1" t="s">
        <v>19</v>
      </c>
      <c r="N2" s="1" t="s">
        <v>13</v>
      </c>
      <c r="O2" s="1" t="s">
        <v>14</v>
      </c>
      <c r="P2" s="1" t="s">
        <v>15</v>
      </c>
      <c r="Q2" s="1" t="s">
        <v>17</v>
      </c>
      <c r="R2" s="1" t="s">
        <v>18</v>
      </c>
      <c r="S2" s="1" t="s">
        <v>19</v>
      </c>
      <c r="T2" s="1" t="s">
        <v>13</v>
      </c>
      <c r="U2" s="1" t="s">
        <v>14</v>
      </c>
      <c r="V2" s="1" t="s">
        <v>15</v>
      </c>
      <c r="W2" s="1" t="s">
        <v>17</v>
      </c>
      <c r="X2" s="1" t="s">
        <v>18</v>
      </c>
      <c r="Y2" s="1" t="s">
        <v>19</v>
      </c>
      <c r="Z2" s="1" t="s">
        <v>13</v>
      </c>
      <c r="AA2" s="1" t="s">
        <v>14</v>
      </c>
      <c r="AB2" s="1" t="s">
        <v>15</v>
      </c>
      <c r="AC2" s="1" t="s">
        <v>17</v>
      </c>
      <c r="AD2" s="1" t="s">
        <v>18</v>
      </c>
      <c r="AE2" s="1" t="s">
        <v>19</v>
      </c>
      <c r="AF2" s="1" t="s">
        <v>13</v>
      </c>
      <c r="AG2" s="1" t="s">
        <v>14</v>
      </c>
      <c r="AH2" s="1" t="s">
        <v>15</v>
      </c>
      <c r="AI2" s="1" t="s">
        <v>17</v>
      </c>
      <c r="AJ2" s="1" t="s">
        <v>18</v>
      </c>
      <c r="AK2" s="1" t="s">
        <v>19</v>
      </c>
      <c r="AL2" s="1" t="s">
        <v>13</v>
      </c>
      <c r="AM2" s="1" t="s">
        <v>14</v>
      </c>
      <c r="AN2" s="1" t="s">
        <v>17</v>
      </c>
      <c r="AO2" s="1" t="s">
        <v>18</v>
      </c>
      <c r="AP2" s="1" t="s">
        <v>19</v>
      </c>
      <c r="AQ2" s="1" t="s">
        <v>13</v>
      </c>
      <c r="AR2" s="1" t="s">
        <v>14</v>
      </c>
      <c r="AS2" s="1" t="s">
        <v>17</v>
      </c>
      <c r="AT2" s="1" t="s">
        <v>18</v>
      </c>
      <c r="AU2" s="1" t="s">
        <v>19</v>
      </c>
      <c r="AV2" s="1" t="s">
        <v>13</v>
      </c>
      <c r="AW2" s="1" t="s">
        <v>14</v>
      </c>
      <c r="AX2" s="1" t="s">
        <v>17</v>
      </c>
      <c r="AY2" s="1" t="s">
        <v>18</v>
      </c>
      <c r="AZ2" s="1" t="s">
        <v>19</v>
      </c>
    </row>
    <row r="3" spans="1:52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/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/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/>
      <c r="W3" s="1" cm="1">
        <f t="array" ref="W3">_xlfn.SWITCH($A$2,"average", AVERAGE(Instances!W3:Instances!W3),"median", MEDIAN(Instances!W3:Instances!W3),"min", MIN(Instances!W3:Instances!W3),"max", MAX(Instances!W3:Instances!W3),"diff", MAX(Instances!W3:Instances!W3)-MIN(Instances!W3:Instances!W3))</f>
        <v>0</v>
      </c>
      <c r="X3" s="1" cm="1">
        <f t="array" ref="X3">_xlfn.SWITCH($A$2,"average", AVERAGE(Instances!X3:Instances!X3),"median", MEDIAN(Instances!X3:Instances!X3),"min", MIN(Instances!X3:Instances!X3),"max", MAX(Instances!X3:Instances!X3),"diff", MAX(Instances!X3:Instances!X3)-MIN(Instances!X3:Instances!X3))</f>
        <v>0</v>
      </c>
      <c r="Y3" s="1" cm="1">
        <f t="array" ref="Y3">_xlfn.SWITCH($A$2,"average", AVERAGE(Instances!Y3:Instances!Y3),"median", MEDIAN(Instances!Y3:Instances!Y3),"min", MIN(Instances!Y3:Instances!Y3),"max", MAX(Instances!Y3:Instances!Y3),"diff", MAX(Instances!Y3:Instances!Y3)-MIN(Instances!Y3:Instances!Y3))</f>
        <v>0</v>
      </c>
      <c r="Z3" s="1" cm="1">
        <f t="array" ref="Z3">_xlfn.SWITCH($A$2,"average", AVERAGE(Instances!Z3:Instances!Z3),"median", MEDIAN(Instances!Z3:Instances!Z3),"min", MIN(Instances!Z3:Instances!Z3),"max", MAX(Instances!Z3:Instances!Z3),"diff", MAX(Instances!Z3:Instances!Z3)-MIN(Instances!Z3:Instances!Z3))</f>
        <v>0</v>
      </c>
      <c r="AA3" s="1" cm="1">
        <f t="array" ref="AA3">_xlfn.SWITCH($A$2,"average", AVERAGE(Instances!AA3:Instances!AA3),"median", MEDIAN(Instances!AA3:Instances!AA3),"min", MIN(Instances!AA3:Instances!AA3),"max", MAX(Instances!AA3:Instances!AA3),"diff", MAX(Instances!AA3:Instances!AA3)-MIN(Instances!AA3:Instances!AA3))</f>
        <v>0</v>
      </c>
      <c r="AB3" s="1"/>
      <c r="AC3" s="1" cm="1">
        <f t="array" ref="AC3">_xlfn.SWITCH($A$2,"average", AVERAGE(Instances!AC3:Instances!AC3),"median", MEDIAN(Instances!AC3:Instances!AC3),"min", MIN(Instances!AC3:Instances!AC3),"max", MAX(Instances!AC3:Instances!AC3),"diff", MAX(Instances!AC3:Instances!AC3)-MIN(Instances!AC3:Instances!AC3))</f>
        <v>0</v>
      </c>
      <c r="AD3" s="1" cm="1">
        <f t="array" ref="AD3">_xlfn.SWITCH($A$2,"average", AVERAGE(Instances!AD3:Instances!AD3),"median", MEDIAN(Instances!AD3:Instances!AD3),"min", MIN(Instances!AD3:Instances!AD3),"max", MAX(Instances!AD3:Instances!AD3),"diff", MAX(Instances!AD3:Instances!AD3)-MIN(Instances!AD3:Instances!AD3))</f>
        <v>0</v>
      </c>
      <c r="AE3" s="1" cm="1">
        <f t="array" ref="AE3">_xlfn.SWITCH($A$2,"average", AVERAGE(Instances!AE3:Instances!AE3),"median", MEDIAN(Instances!AE3:Instances!AE3),"min", MIN(Instances!AE3:Instances!AE3),"max", MAX(Instances!AE3:Instances!AE3),"diff", MAX(Instances!AE3:Instances!AE3)-MIN(Instances!AE3:Instances!AE3))</f>
        <v>0</v>
      </c>
      <c r="AF3" s="1" cm="1">
        <f t="array" ref="AF3">_xlfn.SWITCH($A$2,"average", AVERAGE(Instances!AF3:Instances!AF3),"median", MEDIAN(Instances!AF3:Instances!AF3),"min", MIN(Instances!AF3:Instances!AF3),"max", MAX(Instances!AF3:Instances!AF3),"diff", MAX(Instances!AF3:Instances!AF3)-MIN(Instances!AF3:Instances!AF3))</f>
        <v>0</v>
      </c>
      <c r="AG3" s="1" cm="1">
        <f t="array" ref="AG3">_xlfn.SWITCH($A$2,"average", AVERAGE(Instances!AG3:Instances!AG3),"median", MEDIAN(Instances!AG3:Instances!AG3),"min", MIN(Instances!AG3:Instances!AG3),"max", MAX(Instances!AG3:Instances!AG3),"diff", MAX(Instances!AG3:Instances!AG3)-MIN(Instances!AG3:Instances!AG3))</f>
        <v>0</v>
      </c>
      <c r="AH3" s="1"/>
      <c r="AI3" s="1" cm="1">
        <f t="array" ref="AI3">_xlfn.SWITCH($A$2,"average", AVERAGE(Instances!AI3:Instances!AI3),"median", MEDIAN(Instances!AI3:Instances!AI3),"min", MIN(Instances!AI3:Instances!AI3),"max", MAX(Instances!AI3:Instances!AI3),"diff", MAX(Instances!AI3:Instances!AI3)-MIN(Instances!AI3:Instances!AI3))</f>
        <v>0</v>
      </c>
      <c r="AJ3" s="1" cm="1">
        <f t="array" ref="AJ3">_xlfn.SWITCH($A$2,"average", AVERAGE(Instances!AJ3:Instances!AJ3),"median", MEDIAN(Instances!AJ3:Instances!AJ3),"min", MIN(Instances!AJ3:Instances!AJ3),"max", MAX(Instances!AJ3:Instances!AJ3),"diff", MAX(Instances!AJ3:Instances!AJ3)-MIN(Instances!AJ3:Instances!AJ3))</f>
        <v>0</v>
      </c>
      <c r="AK3" s="1" cm="1">
        <f t="array" ref="AK3">_xlfn.SWITCH($A$2,"average", AVERAGE(Instances!AK3:Instances!AK3),"median", MEDIAN(Instances!AK3:Instances!AK3),"min", MIN(Instances!AK3:Instances!AK3),"max", MAX(Instances!AK3:Instances!AK3),"diff", MAX(Instances!AK3:Instances!AK3)-MIN(Instances!AK3:Instances!AK3))</f>
        <v>0</v>
      </c>
      <c r="AL3" s="1">
        <f>MIN($B3,$H3,$N3,$T3,$Z3,$AF3)</f>
        <v>0</v>
      </c>
      <c r="AM3" s="1">
        <f>MIN($C3,$I3,$O3,$U3,$AA3,$AG3)</f>
        <v>0</v>
      </c>
      <c r="AN3" s="1">
        <f>MIN($E3,$K3,$Q3,$W3,$AC3,$AI3)</f>
        <v>0</v>
      </c>
      <c r="AO3" s="1">
        <f>MIN($F3,$L3,$R3,$X3,$AD3,$AJ3)</f>
        <v>0</v>
      </c>
      <c r="AP3" s="1">
        <f>MIN($G3,$M3,$S3,$Y3,$AE3,$AK3)</f>
        <v>0</v>
      </c>
      <c r="AQ3" s="1">
        <f>MEDIAN($B3,$H3,$N3,$T3,$Z3,$AF3)</f>
        <v>0</v>
      </c>
      <c r="AR3" s="1">
        <f>MEDIAN($C3,$I3,$O3,$U3,$AA3,$AG3)</f>
        <v>0</v>
      </c>
      <c r="AS3" s="1">
        <f>MEDIAN($E3,$K3,$Q3,$W3,$AC3,$AI3)</f>
        <v>0</v>
      </c>
      <c r="AT3" s="1">
        <f>MEDIAN($F3,$L3,$R3,$X3,$AD3,$AJ3)</f>
        <v>0</v>
      </c>
      <c r="AU3" s="1">
        <f>MEDIAN($G3,$M3,$S3,$Y3,$AE3,$AK3)</f>
        <v>0</v>
      </c>
      <c r="AV3" s="1">
        <f>MAX($B3,$H3,$N3,$T3,$Z3,$AF3)</f>
        <v>0</v>
      </c>
      <c r="AW3" s="1">
        <f>MAX($C3,$I3,$O3,$U3,$AA3,$AG3)</f>
        <v>0</v>
      </c>
      <c r="AX3" s="1">
        <f>MAX($E3,$K3,$Q3,$W3,$AC3,$AI3)</f>
        <v>0</v>
      </c>
      <c r="AY3" s="1">
        <f>MAX($F3,$L3,$R3,$X3,$AD3,$AJ3)</f>
        <v>0</v>
      </c>
      <c r="AZ3" s="1">
        <f>MAX($G3,$M3,$S3,$Y3,$AE3,$AK3)</f>
        <v>0</v>
      </c>
    </row>
    <row r="4" spans="1:52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/>
      <c r="D4" s="1"/>
      <c r="E4" s="1"/>
      <c r="F4" s="1"/>
      <c r="G4" s="1"/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/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/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 cm="1">
        <f t="array" ref="S4">_xlfn.SWITCH($A$2,"average", AVERAGE(Instances!S4:Instances!S4),"median", MEDIAN(Instances!S4:Instances!S4),"min", MIN(Instances!S4:Instances!S4),"max", MAX(Instances!S4:Instances!S4),"diff", MAX(Instances!S4:Instances!S4)-MIN(Instances!S4:Instances!S4))</f>
        <v>0</v>
      </c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/>
      <c r="V4" s="1"/>
      <c r="W4" s="1"/>
      <c r="X4" s="1"/>
      <c r="Y4" s="1"/>
      <c r="Z4" s="1" cm="1">
        <f t="array" ref="Z4">_xlfn.SWITCH($A$2,"average", AVERAGE(Instances!Z4:Instances!Z4),"median", MEDIAN(Instances!Z4:Instances!Z4),"min", MIN(Instances!Z4:Instances!Z4),"max", MAX(Instances!Z4:Instances!Z4),"diff", MAX(Instances!Z4:Instances!Z4)-MIN(Instances!Z4:Instances!Z4))</f>
        <v>0</v>
      </c>
      <c r="AA4" s="1" cm="1">
        <f t="array" ref="AA4">_xlfn.SWITCH($A$2,"average", AVERAGE(Instances!AA4:Instances!AA4),"median", MEDIAN(Instances!AA4:Instances!AA4),"min", MIN(Instances!AA4:Instances!AA4),"max", MAX(Instances!AA4:Instances!AA4),"diff", MAX(Instances!AA4:Instances!AA4)-MIN(Instances!AA4:Instances!AA4))</f>
        <v>0</v>
      </c>
      <c r="AB4" s="1"/>
      <c r="AC4" s="1" cm="1">
        <f t="array" ref="AC4">_xlfn.SWITCH($A$2,"average", AVERAGE(Instances!AC4:Instances!AC4),"median", MEDIAN(Instances!AC4:Instances!AC4),"min", MIN(Instances!AC4:Instances!AC4),"max", MAX(Instances!AC4:Instances!AC4),"diff", MAX(Instances!AC4:Instances!AC4)-MIN(Instances!AC4:Instances!AC4))</f>
        <v>0</v>
      </c>
      <c r="AD4" s="1" cm="1">
        <f t="array" ref="AD4">_xlfn.SWITCH($A$2,"average", AVERAGE(Instances!AD4:Instances!AD4),"median", MEDIAN(Instances!AD4:Instances!AD4),"min", MIN(Instances!AD4:Instances!AD4),"max", MAX(Instances!AD4:Instances!AD4),"diff", MAX(Instances!AD4:Instances!AD4)-MIN(Instances!AD4:Instances!AD4))</f>
        <v>0</v>
      </c>
      <c r="AE4" s="1" cm="1">
        <f t="array" ref="AE4">_xlfn.SWITCH($A$2,"average", AVERAGE(Instances!AE4:Instances!AE4),"median", MEDIAN(Instances!AE4:Instances!AE4),"min", MIN(Instances!AE4:Instances!AE4),"max", MAX(Instances!AE4:Instances!AE4),"diff", MAX(Instances!AE4:Instances!AE4)-MIN(Instances!AE4:Instances!AE4))</f>
        <v>0</v>
      </c>
      <c r="AF4" s="1" cm="1">
        <f t="array" ref="AF4">_xlfn.SWITCH($A$2,"average", AVERAGE(Instances!AF4:Instances!AF4),"median", MEDIAN(Instances!AF4:Instances!AF4),"min", MIN(Instances!AF4:Instances!AF4),"max", MAX(Instances!AF4:Instances!AF4),"diff", MAX(Instances!AF4:Instances!AF4)-MIN(Instances!AF4:Instances!AF4))</f>
        <v>0</v>
      </c>
      <c r="AG4" s="1" cm="1">
        <f t="array" ref="AG4">_xlfn.SWITCH($A$2,"average", AVERAGE(Instances!AG4:Instances!AG4),"median", MEDIAN(Instances!AG4:Instances!AG4),"min", MIN(Instances!AG4:Instances!AG4),"max", MAX(Instances!AG4:Instances!AG4),"diff", MAX(Instances!AG4:Instances!AG4)-MIN(Instances!AG4:Instances!AG4))</f>
        <v>0</v>
      </c>
      <c r="AH4" s="1"/>
      <c r="AI4" s="1" cm="1">
        <f t="array" ref="AI4">_xlfn.SWITCH($A$2,"average", AVERAGE(Instances!AI4:Instances!AI4),"median", MEDIAN(Instances!AI4:Instances!AI4),"min", MIN(Instances!AI4:Instances!AI4),"max", MAX(Instances!AI4:Instances!AI4),"diff", MAX(Instances!AI4:Instances!AI4)-MIN(Instances!AI4:Instances!AI4))</f>
        <v>0</v>
      </c>
      <c r="AJ4" s="1" cm="1">
        <f t="array" ref="AJ4">_xlfn.SWITCH($A$2,"average", AVERAGE(Instances!AJ4:Instances!AJ4),"median", MEDIAN(Instances!AJ4:Instances!AJ4),"min", MIN(Instances!AJ4:Instances!AJ4),"max", MAX(Instances!AJ4:Instances!AJ4),"diff", MAX(Instances!AJ4:Instances!AJ4)-MIN(Instances!AJ4:Instances!AJ4))</f>
        <v>0</v>
      </c>
      <c r="AK4" s="1" cm="1">
        <f t="array" ref="AK4">_xlfn.SWITCH($A$2,"average", AVERAGE(Instances!AK4:Instances!AK4),"median", MEDIAN(Instances!AK4:Instances!AK4),"min", MIN(Instances!AK4:Instances!AK4),"max", MAX(Instances!AK4:Instances!AK4),"diff", MAX(Instances!AK4:Instances!AK4)-MIN(Instances!AK4:Instances!AK4))</f>
        <v>0</v>
      </c>
      <c r="AL4" s="1">
        <f>MIN($B4,$H4,$N4,$T4,$Z4,$AF4)</f>
        <v>0</v>
      </c>
      <c r="AM4" s="1">
        <f>MIN($C4,$I4,$O4,$U4,$AA4,$AG4)</f>
        <v>0</v>
      </c>
      <c r="AN4" s="1">
        <f>MIN($E4,$K4,$Q4,$W4,$AC4,$AI4)</f>
        <v>0</v>
      </c>
      <c r="AO4" s="1">
        <f>MIN($F4,$L4,$R4,$X4,$AD4,$AJ4)</f>
        <v>0</v>
      </c>
      <c r="AP4" s="1">
        <f>MIN($G4,$M4,$S4,$Y4,$AE4,$AK4)</f>
        <v>0</v>
      </c>
      <c r="AQ4" s="1">
        <f>MEDIAN($B4,$H4,$N4,$T4,$Z4,$AF4)</f>
        <v>0</v>
      </c>
      <c r="AR4" s="1">
        <f>MEDIAN($C4,$I4,$O4,$U4,$AA4,$AG4)</f>
        <v>0</v>
      </c>
      <c r="AS4" s="1">
        <f>MEDIAN($E4,$K4,$Q4,$W4,$AC4,$AI4)</f>
        <v>0</v>
      </c>
      <c r="AT4" s="1">
        <f>MEDIAN($F4,$L4,$R4,$X4,$AD4,$AJ4)</f>
        <v>0</v>
      </c>
      <c r="AU4" s="1">
        <f>MEDIAN($G4,$M4,$S4,$Y4,$AE4,$AK4)</f>
        <v>0</v>
      </c>
      <c r="AV4" s="1">
        <f>MAX($B4,$H4,$N4,$T4,$Z4,$AF4)</f>
        <v>0</v>
      </c>
      <c r="AW4" s="1">
        <f>MAX($C4,$I4,$O4,$U4,$AA4,$AG4)</f>
        <v>0</v>
      </c>
      <c r="AX4" s="1">
        <f>MAX($E4,$K4,$Q4,$W4,$AC4,$AI4)</f>
        <v>0</v>
      </c>
      <c r="AY4" s="1">
        <f>MAX($F4,$L4,$R4,$X4,$AD4,$AJ4)</f>
        <v>0</v>
      </c>
      <c r="AZ4" s="1">
        <f>MAX($G4,$M4,$S4,$Y4,$AE4,$AK4)</f>
        <v>0</v>
      </c>
    </row>
    <row r="5" spans="1:52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/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/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/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 cm="1">
        <f t="array" ref="S5">_xlfn.SWITCH($A$2,"average", AVERAGE(Instances!S5:Instances!S5),"median", MEDIAN(Instances!S5:Instances!S5),"min", MIN(Instances!S5:Instances!S5),"max", MAX(Instances!S5:Instances!S5),"diff", MAX(Instances!S5:Instances!S5)-MIN(Instances!S5:Instances!S5))</f>
        <v>0</v>
      </c>
      <c r="T5" s="1" cm="1">
        <f t="array" ref="T5">_xlfn.SWITCH($A$2,"average", AVERAGE(Instances!T5:Instances!T5),"median", MEDIAN(Instances!T5:Instances!T5),"min", MIN(Instances!T5:Instances!T5),"max", MAX(Instances!T5:Instances!T5),"diff", MAX(Instances!T5:Instances!T5)-MIN(Instances!T5:Instances!T5))</f>
        <v>0</v>
      </c>
      <c r="U5" s="1" cm="1">
        <f t="array" ref="U5">_xlfn.SWITCH($A$2,"average", AVERAGE(Instances!U5:Instances!U5),"median", MEDIAN(Instances!U5:Instances!U5),"min", MIN(Instances!U5:Instances!U5),"max", MAX(Instances!U5:Instances!U5),"diff", MAX(Instances!U5:Instances!U5)-MIN(Instances!U5:Instances!U5))</f>
        <v>0</v>
      </c>
      <c r="V5" s="1"/>
      <c r="W5" s="1" cm="1">
        <f t="array" ref="W5">_xlfn.SWITCH($A$2,"average", AVERAGE(Instances!W5:Instances!W5),"median", MEDIAN(Instances!W5:Instances!W5),"min", MIN(Instances!W5:Instances!W5),"max", MAX(Instances!W5:Instances!W5),"diff", MAX(Instances!W5:Instances!W5)-MIN(Instances!W5:Instances!W5))</f>
        <v>0</v>
      </c>
      <c r="X5" s="1" cm="1">
        <f t="array" ref="X5">_xlfn.SWITCH($A$2,"average", AVERAGE(Instances!X5:Instances!X5),"median", MEDIAN(Instances!X5:Instances!X5),"min", MIN(Instances!X5:Instances!X5),"max", MAX(Instances!X5:Instances!X5),"diff", MAX(Instances!X5:Instances!X5)-MIN(Instances!X5:Instances!X5))</f>
        <v>0</v>
      </c>
      <c r="Y5" s="1" cm="1">
        <f t="array" ref="Y5">_xlfn.SWITCH($A$2,"average", AVERAGE(Instances!Y5:Instances!Y5),"median", MEDIAN(Instances!Y5:Instances!Y5),"min", MIN(Instances!Y5:Instances!Y5),"max", MAX(Instances!Y5:Instances!Y5),"diff", MAX(Instances!Y5:Instances!Y5)-MIN(Instances!Y5:Instances!Y5))</f>
        <v>0</v>
      </c>
      <c r="Z5" s="1" cm="1">
        <f t="array" ref="Z5">_xlfn.SWITCH($A$2,"average", AVERAGE(Instances!Z5:Instances!Z5),"median", MEDIAN(Instances!Z5:Instances!Z5),"min", MIN(Instances!Z5:Instances!Z5),"max", MAX(Instances!Z5:Instances!Z5),"diff", MAX(Instances!Z5:Instances!Z5)-MIN(Instances!Z5:Instances!Z5))</f>
        <v>0</v>
      </c>
      <c r="AA5" s="1" cm="1">
        <f t="array" ref="AA5">_xlfn.SWITCH($A$2,"average", AVERAGE(Instances!AA5:Instances!AA5),"median", MEDIAN(Instances!AA5:Instances!AA5),"min", MIN(Instances!AA5:Instances!AA5),"max", MAX(Instances!AA5:Instances!AA5),"diff", MAX(Instances!AA5:Instances!AA5)-MIN(Instances!AA5:Instances!AA5))</f>
        <v>0</v>
      </c>
      <c r="AB5" s="1"/>
      <c r="AC5" s="1" cm="1">
        <f t="array" ref="AC5">_xlfn.SWITCH($A$2,"average", AVERAGE(Instances!AC5:Instances!AC5),"median", MEDIAN(Instances!AC5:Instances!AC5),"min", MIN(Instances!AC5:Instances!AC5),"max", MAX(Instances!AC5:Instances!AC5),"diff", MAX(Instances!AC5:Instances!AC5)-MIN(Instances!AC5:Instances!AC5))</f>
        <v>0</v>
      </c>
      <c r="AD5" s="1" cm="1">
        <f t="array" ref="AD5">_xlfn.SWITCH($A$2,"average", AVERAGE(Instances!AD5:Instances!AD5),"median", MEDIAN(Instances!AD5:Instances!AD5),"min", MIN(Instances!AD5:Instances!AD5),"max", MAX(Instances!AD5:Instances!AD5),"diff", MAX(Instances!AD5:Instances!AD5)-MIN(Instances!AD5:Instances!AD5))</f>
        <v>0</v>
      </c>
      <c r="AE5" s="1" cm="1">
        <f t="array" ref="AE5">_xlfn.SWITCH($A$2,"average", AVERAGE(Instances!AE5:Instances!AE5),"median", MEDIAN(Instances!AE5:Instances!AE5),"min", MIN(Instances!AE5:Instances!AE5),"max", MAX(Instances!AE5:Instances!AE5),"diff", MAX(Instances!AE5:Instances!AE5)-MIN(Instances!AE5:Instances!AE5))</f>
        <v>0</v>
      </c>
      <c r="AF5" s="1" cm="1">
        <f t="array" ref="AF5">_xlfn.SWITCH($A$2,"average", AVERAGE(Instances!AF5:Instances!AF5),"median", MEDIAN(Instances!AF5:Instances!AF5),"min", MIN(Instances!AF5:Instances!AF5),"max", MAX(Instances!AF5:Instances!AF5),"diff", MAX(Instances!AF5:Instances!AF5)-MIN(Instances!AF5:Instances!AF5))</f>
        <v>0</v>
      </c>
      <c r="AG5" s="1" cm="1">
        <f t="array" ref="AG5">_xlfn.SWITCH($A$2,"average", AVERAGE(Instances!AG5:Instances!AG5),"median", MEDIAN(Instances!AG5:Instances!AG5),"min", MIN(Instances!AG5:Instances!AG5),"max", MAX(Instances!AG5:Instances!AG5),"diff", MAX(Instances!AG5:Instances!AG5)-MIN(Instances!AG5:Instances!AG5))</f>
        <v>0</v>
      </c>
      <c r="AH5" s="1"/>
      <c r="AI5" s="1" cm="1">
        <f t="array" ref="AI5">_xlfn.SWITCH($A$2,"average", AVERAGE(Instances!AI5:Instances!AI5),"median", MEDIAN(Instances!AI5:Instances!AI5),"min", MIN(Instances!AI5:Instances!AI5),"max", MAX(Instances!AI5:Instances!AI5),"diff", MAX(Instances!AI5:Instances!AI5)-MIN(Instances!AI5:Instances!AI5))</f>
        <v>0</v>
      </c>
      <c r="AJ5" s="1" cm="1">
        <f t="array" ref="AJ5">_xlfn.SWITCH($A$2,"average", AVERAGE(Instances!AJ5:Instances!AJ5),"median", MEDIAN(Instances!AJ5:Instances!AJ5),"min", MIN(Instances!AJ5:Instances!AJ5),"max", MAX(Instances!AJ5:Instances!AJ5),"diff", MAX(Instances!AJ5:Instances!AJ5)-MIN(Instances!AJ5:Instances!AJ5))</f>
        <v>0</v>
      </c>
      <c r="AK5" s="1" cm="1">
        <f t="array" ref="AK5">_xlfn.SWITCH($A$2,"average", AVERAGE(Instances!AK5:Instances!AK5),"median", MEDIAN(Instances!AK5:Instances!AK5),"min", MIN(Instances!AK5:Instances!AK5),"max", MAX(Instances!AK5:Instances!AK5),"diff", MAX(Instances!AK5:Instances!AK5)-MIN(Instances!AK5:Instances!AK5))</f>
        <v>0</v>
      </c>
      <c r="AL5" s="1">
        <f>MIN($B5,$H5,$N5,$T5,$Z5,$AF5)</f>
        <v>0</v>
      </c>
      <c r="AM5" s="1">
        <f>MIN($C5,$I5,$O5,$U5,$AA5,$AG5)</f>
        <v>0</v>
      </c>
      <c r="AN5" s="1">
        <f>MIN($E5,$K5,$Q5,$W5,$AC5,$AI5)</f>
        <v>0</v>
      </c>
      <c r="AO5" s="1">
        <f>MIN($F5,$L5,$R5,$X5,$AD5,$AJ5)</f>
        <v>0</v>
      </c>
      <c r="AP5" s="1">
        <f>MIN($G5,$M5,$S5,$Y5,$AE5,$AK5)</f>
        <v>0</v>
      </c>
      <c r="AQ5" s="1">
        <f>MEDIAN($B5,$H5,$N5,$T5,$Z5,$AF5)</f>
        <v>0</v>
      </c>
      <c r="AR5" s="1">
        <f>MEDIAN($C5,$I5,$O5,$U5,$AA5,$AG5)</f>
        <v>0</v>
      </c>
      <c r="AS5" s="1">
        <f>MEDIAN($E5,$K5,$Q5,$W5,$AC5,$AI5)</f>
        <v>0</v>
      </c>
      <c r="AT5" s="1">
        <f>MEDIAN($F5,$L5,$R5,$X5,$AD5,$AJ5)</f>
        <v>0</v>
      </c>
      <c r="AU5" s="1">
        <f>MEDIAN($G5,$M5,$S5,$Y5,$AE5,$AK5)</f>
        <v>0</v>
      </c>
      <c r="AV5" s="1">
        <f>MAX($B5,$H5,$N5,$T5,$Z5,$AF5)</f>
        <v>0</v>
      </c>
      <c r="AW5" s="1">
        <f>MAX($C5,$I5,$O5,$U5,$AA5,$AG5)</f>
        <v>0</v>
      </c>
      <c r="AX5" s="1">
        <f>MAX($E5,$K5,$Q5,$W5,$AC5,$AI5)</f>
        <v>0</v>
      </c>
      <c r="AY5" s="1">
        <f>MAX($F5,$L5,$R5,$X5,$AD5,$AJ5)</f>
        <v>0</v>
      </c>
      <c r="AZ5" s="1">
        <f>MAX($G5,$M5,$S5,$Y5,$AE5,$AK5)</f>
        <v>0</v>
      </c>
    </row>
    <row r="6" spans="1:52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/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/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 cm="1">
        <f t="array" ref="L6">_xlfn.SWITCH($A$2,"average", AVERAGE(Instances!L6:Instances!L6),"median", MEDIAN(Instances!L6:Instances!L6),"min", MIN(Instances!L6:Instances!L6),"max", MAX(Instances!L6:Instances!L6),"diff", MAX(Instances!L6:Instances!L6)-MIN(Instances!L6:Instances!L6))</f>
        <v>0</v>
      </c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 cm="1">
        <f t="array" ref="O6">_xlfn.SWITCH($A$2,"average", AVERAGE(Instances!O6:Instances!O6),"median", MEDIAN(Instances!O6:Instances!O6),"min", MIN(Instances!O6:Instances!O6),"max", MAX(Instances!O6:Instances!O6),"diff", MAX(Instances!O6:Instances!O6)-MIN(Instances!O6:Instances!O6))</f>
        <v>0</v>
      </c>
      <c r="P6" s="1"/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 cm="1">
        <f t="array" ref="S6">_xlfn.SWITCH($A$2,"average", AVERAGE(Instances!S6:Instances!S6),"median", MEDIAN(Instances!S6:Instances!S6),"min", MIN(Instances!S6:Instances!S6),"max", MAX(Instances!S6:Instances!S6),"diff", MAX(Instances!S6:Instances!S6)-MIN(Instances!S6:Instances!S6))</f>
        <v>0</v>
      </c>
      <c r="T6" s="1" cm="1">
        <f t="array" ref="T6">_xlfn.SWITCH($A$2,"average", AVERAGE(Instances!T6:Instances!T6),"median", MEDIAN(Instances!T6:Instances!T6),"min", MIN(Instances!T6:Instances!T6),"max", MAX(Instances!T6:Instances!T6),"diff", MAX(Instances!T6:Instances!T6)-MIN(Instances!T6:Instances!T6))</f>
        <v>0</v>
      </c>
      <c r="U6" s="1" cm="1">
        <f t="array" ref="U6">_xlfn.SWITCH($A$2,"average", AVERAGE(Instances!U6:Instances!U6),"median", MEDIAN(Instances!U6:Instances!U6),"min", MIN(Instances!U6:Instances!U6),"max", MAX(Instances!U6:Instances!U6),"diff", MAX(Instances!U6:Instances!U6)-MIN(Instances!U6:Instances!U6))</f>
        <v>0</v>
      </c>
      <c r="V6" s="1"/>
      <c r="W6" s="1" cm="1">
        <f t="array" ref="W6">_xlfn.SWITCH($A$2,"average", AVERAGE(Instances!W6:Instances!W6),"median", MEDIAN(Instances!W6:Instances!W6),"min", MIN(Instances!W6:Instances!W6),"max", MAX(Instances!W6:Instances!W6),"diff", MAX(Instances!W6:Instances!W6)-MIN(Instances!W6:Instances!W6))</f>
        <v>0</v>
      </c>
      <c r="X6" s="1" cm="1">
        <f t="array" ref="X6">_xlfn.SWITCH($A$2,"average", AVERAGE(Instances!X6:Instances!X6),"median", MEDIAN(Instances!X6:Instances!X6),"min", MIN(Instances!X6:Instances!X6),"max", MAX(Instances!X6:Instances!X6),"diff", MAX(Instances!X6:Instances!X6)-MIN(Instances!X6:Instances!X6))</f>
        <v>0</v>
      </c>
      <c r="Y6" s="1" cm="1">
        <f t="array" ref="Y6">_xlfn.SWITCH($A$2,"average", AVERAGE(Instances!Y6:Instances!Y6),"median", MEDIAN(Instances!Y6:Instances!Y6),"min", MIN(Instances!Y6:Instances!Y6),"max", MAX(Instances!Y6:Instances!Y6),"diff", MAX(Instances!Y6:Instances!Y6)-MIN(Instances!Y6:Instances!Y6))</f>
        <v>0</v>
      </c>
      <c r="Z6" s="1" cm="1">
        <f t="array" ref="Z6">_xlfn.SWITCH($A$2,"average", AVERAGE(Instances!Z6:Instances!Z6),"median", MEDIAN(Instances!Z6:Instances!Z6),"min", MIN(Instances!Z6:Instances!Z6),"max", MAX(Instances!Z6:Instances!Z6),"diff", MAX(Instances!Z6:Instances!Z6)-MIN(Instances!Z6:Instances!Z6))</f>
        <v>0</v>
      </c>
      <c r="AA6" s="1" cm="1">
        <f t="array" ref="AA6">_xlfn.SWITCH($A$2,"average", AVERAGE(Instances!AA6:Instances!AA6),"median", MEDIAN(Instances!AA6:Instances!AA6),"min", MIN(Instances!AA6:Instances!AA6),"max", MAX(Instances!AA6:Instances!AA6),"diff", MAX(Instances!AA6:Instances!AA6)-MIN(Instances!AA6:Instances!AA6))</f>
        <v>0</v>
      </c>
      <c r="AB6" s="1"/>
      <c r="AC6" s="1" cm="1">
        <f t="array" ref="AC6">_xlfn.SWITCH($A$2,"average", AVERAGE(Instances!AC6:Instances!AC6),"median", MEDIAN(Instances!AC6:Instances!AC6),"min", MIN(Instances!AC6:Instances!AC6),"max", MAX(Instances!AC6:Instances!AC6),"diff", MAX(Instances!AC6:Instances!AC6)-MIN(Instances!AC6:Instances!AC6))</f>
        <v>0</v>
      </c>
      <c r="AD6" s="1" cm="1">
        <f t="array" ref="AD6">_xlfn.SWITCH($A$2,"average", AVERAGE(Instances!AD6:Instances!AD6),"median", MEDIAN(Instances!AD6:Instances!AD6),"min", MIN(Instances!AD6:Instances!AD6),"max", MAX(Instances!AD6:Instances!AD6),"diff", MAX(Instances!AD6:Instances!AD6)-MIN(Instances!AD6:Instances!AD6))</f>
        <v>0</v>
      </c>
      <c r="AE6" s="1" cm="1">
        <f t="array" ref="AE6">_xlfn.SWITCH($A$2,"average", AVERAGE(Instances!AE6:Instances!AE6),"median", MEDIAN(Instances!AE6:Instances!AE6),"min", MIN(Instances!AE6:Instances!AE6),"max", MAX(Instances!AE6:Instances!AE6),"diff", MAX(Instances!AE6:Instances!AE6)-MIN(Instances!AE6:Instances!AE6))</f>
        <v>0</v>
      </c>
      <c r="AF6" s="1" cm="1">
        <f t="array" ref="AF6">_xlfn.SWITCH($A$2,"average", AVERAGE(Instances!AF6:Instances!AF6),"median", MEDIAN(Instances!AF6:Instances!AF6),"min", MIN(Instances!AF6:Instances!AF6),"max", MAX(Instances!AF6:Instances!AF6),"diff", MAX(Instances!AF6:Instances!AF6)-MIN(Instances!AF6:Instances!AF6))</f>
        <v>0</v>
      </c>
      <c r="AG6" s="1" cm="1">
        <f t="array" ref="AG6">_xlfn.SWITCH($A$2,"average", AVERAGE(Instances!AG6:Instances!AG6),"median", MEDIAN(Instances!AG6:Instances!AG6),"min", MIN(Instances!AG6:Instances!AG6),"max", MAX(Instances!AG6:Instances!AG6),"diff", MAX(Instances!AG6:Instances!AG6)-MIN(Instances!AG6:Instances!AG6))</f>
        <v>0</v>
      </c>
      <c r="AH6" s="1"/>
      <c r="AI6" s="1" cm="1">
        <f t="array" ref="AI6">_xlfn.SWITCH($A$2,"average", AVERAGE(Instances!AI6:Instances!AI6),"median", MEDIAN(Instances!AI6:Instances!AI6),"min", MIN(Instances!AI6:Instances!AI6),"max", MAX(Instances!AI6:Instances!AI6),"diff", MAX(Instances!AI6:Instances!AI6)-MIN(Instances!AI6:Instances!AI6))</f>
        <v>0</v>
      </c>
      <c r="AJ6" s="1" cm="1">
        <f t="array" ref="AJ6">_xlfn.SWITCH($A$2,"average", AVERAGE(Instances!AJ6:Instances!AJ6),"median", MEDIAN(Instances!AJ6:Instances!AJ6),"min", MIN(Instances!AJ6:Instances!AJ6),"max", MAX(Instances!AJ6:Instances!AJ6),"diff", MAX(Instances!AJ6:Instances!AJ6)-MIN(Instances!AJ6:Instances!AJ6))</f>
        <v>0</v>
      </c>
      <c r="AK6" s="1" cm="1">
        <f t="array" ref="AK6">_xlfn.SWITCH($A$2,"average", AVERAGE(Instances!AK6:Instances!AK6),"median", MEDIAN(Instances!AK6:Instances!AK6),"min", MIN(Instances!AK6:Instances!AK6),"max", MAX(Instances!AK6:Instances!AK6),"diff", MAX(Instances!AK6:Instances!AK6)-MIN(Instances!AK6:Instances!AK6))</f>
        <v>0</v>
      </c>
      <c r="AL6" s="1">
        <f>MIN($B6,$H6,$N6,$T6,$Z6,$AF6)</f>
        <v>0</v>
      </c>
      <c r="AM6" s="1">
        <f>MIN($C6,$I6,$O6,$U6,$AA6,$AG6)</f>
        <v>0</v>
      </c>
      <c r="AN6" s="1">
        <f>MIN($E6,$K6,$Q6,$W6,$AC6,$AI6)</f>
        <v>0</v>
      </c>
      <c r="AO6" s="1">
        <f>MIN($F6,$L6,$R6,$X6,$AD6,$AJ6)</f>
        <v>0</v>
      </c>
      <c r="AP6" s="1">
        <f>MIN($G6,$M6,$S6,$Y6,$AE6,$AK6)</f>
        <v>0</v>
      </c>
      <c r="AQ6" s="1">
        <f>MEDIAN($B6,$H6,$N6,$T6,$Z6,$AF6)</f>
        <v>0</v>
      </c>
      <c r="AR6" s="1">
        <f>MEDIAN($C6,$I6,$O6,$U6,$AA6,$AG6)</f>
        <v>0</v>
      </c>
      <c r="AS6" s="1">
        <f>MEDIAN($E6,$K6,$Q6,$W6,$AC6,$AI6)</f>
        <v>0</v>
      </c>
      <c r="AT6" s="1">
        <f>MEDIAN($F6,$L6,$R6,$X6,$AD6,$AJ6)</f>
        <v>0</v>
      </c>
      <c r="AU6" s="1">
        <f>MEDIAN($G6,$M6,$S6,$Y6,$AE6,$AK6)</f>
        <v>0</v>
      </c>
      <c r="AV6" s="1">
        <f>MAX($B6,$H6,$N6,$T6,$Z6,$AF6)</f>
        <v>0</v>
      </c>
      <c r="AW6" s="1">
        <f>MAX($C6,$I6,$O6,$U6,$AA6,$AG6)</f>
        <v>0</v>
      </c>
      <c r="AX6" s="1">
        <f>MAX($E6,$K6,$Q6,$W6,$AC6,$AI6)</f>
        <v>0</v>
      </c>
      <c r="AY6" s="1">
        <f>MAX($F6,$L6,$R6,$X6,$AD6,$AJ6)</f>
        <v>0</v>
      </c>
      <c r="AZ6" s="1">
        <f>MAX($G6,$M6,$S6,$Y6,$AE6,$AK6)</f>
        <v>0</v>
      </c>
    </row>
    <row r="7" spans="1:5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>
      <c r="A8" s="1" t="s">
        <v>4</v>
      </c>
      <c r="B8" s="1">
        <f>SUM(B$3:B$6)</f>
        <v>0</v>
      </c>
      <c r="C8" s="1">
        <f>SUM(C$3:C$6)</f>
        <v>0</v>
      </c>
      <c r="D8" s="1"/>
      <c r="E8" s="1">
        <f>SUM(E$3:E$6)</f>
        <v>0</v>
      </c>
      <c r="F8" s="1">
        <f>SUM(F$3:F$6)</f>
        <v>0</v>
      </c>
      <c r="G8" s="1">
        <f>SUM(G$3:G$6)</f>
        <v>0</v>
      </c>
      <c r="H8" s="1">
        <f>SUM(H$3:H$6)</f>
        <v>0</v>
      </c>
      <c r="I8" s="1">
        <f>SUM(I$3:I$6)</f>
        <v>0</v>
      </c>
      <c r="J8" s="1"/>
      <c r="K8" s="1">
        <f>SUM(K$3:K$6)</f>
        <v>0</v>
      </c>
      <c r="L8" s="1">
        <f>SUM(L$3:L$6)</f>
        <v>0</v>
      </c>
      <c r="M8" s="1">
        <f>SUM(M$3:M$6)</f>
        <v>0</v>
      </c>
      <c r="N8" s="1">
        <f>SUM(N$3:N$6)</f>
        <v>0</v>
      </c>
      <c r="O8" s="1">
        <f>SUM(O$3:O$6)</f>
        <v>0</v>
      </c>
      <c r="P8" s="1"/>
      <c r="Q8" s="1">
        <f>SUM(Q$3:Q$6)</f>
        <v>0</v>
      </c>
      <c r="R8" s="1">
        <f>SUM(R$3:R$6)</f>
        <v>0</v>
      </c>
      <c r="S8" s="1">
        <f>SUM(S$3:S$6)</f>
        <v>0</v>
      </c>
      <c r="T8" s="1">
        <f>SUM(T$3:T$6)</f>
        <v>0</v>
      </c>
      <c r="U8" s="1">
        <f>SUM(U$3:U$6)</f>
        <v>0</v>
      </c>
      <c r="V8" s="1"/>
      <c r="W8" s="1">
        <f>SUM(W$3:W$6)</f>
        <v>0</v>
      </c>
      <c r="X8" s="1">
        <f>SUM(X$3:X$6)</f>
        <v>0</v>
      </c>
      <c r="Y8" s="1">
        <f>SUM(Y$3:Y$6)</f>
        <v>0</v>
      </c>
      <c r="Z8" s="1">
        <f>SUM(Z$3:Z$6)</f>
        <v>0</v>
      </c>
      <c r="AA8" s="1">
        <f>SUM(AA$3:AA$6)</f>
        <v>0</v>
      </c>
      <c r="AB8" s="1"/>
      <c r="AC8" s="1">
        <f>SUM(AC$3:AC$6)</f>
        <v>0</v>
      </c>
      <c r="AD8" s="1">
        <f>SUM(AD$3:AD$6)</f>
        <v>0</v>
      </c>
      <c r="AE8" s="1">
        <f>SUM(AE$3:AE$6)</f>
        <v>0</v>
      </c>
      <c r="AF8" s="1">
        <f>SUM(AF$3:AF$6)</f>
        <v>0</v>
      </c>
      <c r="AG8" s="1">
        <f>SUM(AG$3:AG$6)</f>
        <v>0</v>
      </c>
      <c r="AH8" s="1"/>
      <c r="AI8" s="1">
        <f>SUM(AI$3:AI$6)</f>
        <v>0</v>
      </c>
      <c r="AJ8" s="1">
        <f>SUM(AJ$3:AJ$6)</f>
        <v>0</v>
      </c>
      <c r="AK8" s="1">
        <f>SUM(AK$3:AK$6)</f>
        <v>0</v>
      </c>
      <c r="AL8" s="1">
        <f>SUM(AL$3:AL$6)</f>
        <v>0</v>
      </c>
      <c r="AM8" s="1">
        <f>SUM(AM$3:AM$6)</f>
        <v>0</v>
      </c>
      <c r="AN8" s="1">
        <f>SUM(AN$3:AN$6)</f>
        <v>0</v>
      </c>
      <c r="AO8" s="1">
        <f>SUM(AO$3:AO$6)</f>
        <v>0</v>
      </c>
      <c r="AP8" s="1">
        <f>SUM(AP$3:AP$6)</f>
        <v>0</v>
      </c>
      <c r="AQ8" s="1">
        <f>SUM(AQ$3:AQ$6)</f>
        <v>0</v>
      </c>
      <c r="AR8" s="1">
        <f>SUM(AR$3:AR$6)</f>
        <v>0</v>
      </c>
      <c r="AS8" s="1">
        <f>SUM(AS$3:AS$6)</f>
        <v>0</v>
      </c>
      <c r="AT8" s="1">
        <f>SUM(AT$3:AT$6)</f>
        <v>0</v>
      </c>
      <c r="AU8" s="1">
        <f>SUM(AU$3:AU$6)</f>
        <v>0</v>
      </c>
      <c r="AV8" s="1">
        <f>SUM(AV$3:AV$6)</f>
        <v>0</v>
      </c>
      <c r="AW8" s="1">
        <f>SUM(AW$3:AW$6)</f>
        <v>0</v>
      </c>
      <c r="AX8" s="1">
        <f>SUM(AX$3:AX$6)</f>
        <v>0</v>
      </c>
      <c r="AY8" s="1">
        <f>SUM(AY$3:AY$6)</f>
        <v>0</v>
      </c>
      <c r="AZ8" s="1">
        <f>SUM(AZ$3:AZ$6)</f>
        <v>0</v>
      </c>
    </row>
    <row r="9" spans="1:52">
      <c r="A9" s="1" t="s">
        <v>5</v>
      </c>
      <c r="B9" s="1">
        <f>AVERAGE(B$3:B$6)</f>
        <v>0</v>
      </c>
      <c r="C9" s="1">
        <f>AVERAGE(C$3:C$6)</f>
        <v>0</v>
      </c>
      <c r="D9" s="1"/>
      <c r="E9" s="1">
        <f>AVERAGE(E$3:E$6)</f>
        <v>0</v>
      </c>
      <c r="F9" s="1">
        <f>AVERAGE(F$3:F$6)</f>
        <v>0</v>
      </c>
      <c r="G9" s="1">
        <f>AVERAGE(G$3:G$6)</f>
        <v>0</v>
      </c>
      <c r="H9" s="1">
        <f>AVERAGE(H$3:H$6)</f>
        <v>0</v>
      </c>
      <c r="I9" s="1">
        <f>AVERAGE(I$3:I$6)</f>
        <v>0</v>
      </c>
      <c r="J9" s="1"/>
      <c r="K9" s="1">
        <f>AVERAGE(K$3:K$6)</f>
        <v>0</v>
      </c>
      <c r="L9" s="1">
        <f>AVERAGE(L$3:L$6)</f>
        <v>0</v>
      </c>
      <c r="M9" s="1">
        <f>AVERAGE(M$3:M$6)</f>
        <v>0</v>
      </c>
      <c r="N9" s="1">
        <f>AVERAGE(N$3:N$6)</f>
        <v>0</v>
      </c>
      <c r="O9" s="1">
        <f>AVERAGE(O$3:O$6)</f>
        <v>0</v>
      </c>
      <c r="P9" s="1"/>
      <c r="Q9" s="1">
        <f>AVERAGE(Q$3:Q$6)</f>
        <v>0</v>
      </c>
      <c r="R9" s="1">
        <f>AVERAGE(R$3:R$6)</f>
        <v>0</v>
      </c>
      <c r="S9" s="1">
        <f>AVERAGE(S$3:S$6)</f>
        <v>0</v>
      </c>
      <c r="T9" s="1">
        <f>AVERAGE(T$3:T$6)</f>
        <v>0</v>
      </c>
      <c r="U9" s="1">
        <f>AVERAGE(U$3:U$6)</f>
        <v>0</v>
      </c>
      <c r="V9" s="1"/>
      <c r="W9" s="1">
        <f>AVERAGE(W$3:W$6)</f>
        <v>0</v>
      </c>
      <c r="X9" s="1">
        <f>AVERAGE(X$3:X$6)</f>
        <v>0</v>
      </c>
      <c r="Y9" s="1">
        <f>AVERAGE(Y$3:Y$6)</f>
        <v>0</v>
      </c>
      <c r="Z9" s="1">
        <f>AVERAGE(Z$3:Z$6)</f>
        <v>0</v>
      </c>
      <c r="AA9" s="1">
        <f>AVERAGE(AA$3:AA$6)</f>
        <v>0</v>
      </c>
      <c r="AB9" s="1"/>
      <c r="AC9" s="1">
        <f>AVERAGE(AC$3:AC$6)</f>
        <v>0</v>
      </c>
      <c r="AD9" s="1">
        <f>AVERAGE(AD$3:AD$6)</f>
        <v>0</v>
      </c>
      <c r="AE9" s="1">
        <f>AVERAGE(AE$3:AE$6)</f>
        <v>0</v>
      </c>
      <c r="AF9" s="1">
        <f>AVERAGE(AF$3:AF$6)</f>
        <v>0</v>
      </c>
      <c r="AG9" s="1">
        <f>AVERAGE(AG$3:AG$6)</f>
        <v>0</v>
      </c>
      <c r="AH9" s="1"/>
      <c r="AI9" s="1">
        <f>AVERAGE(AI$3:AI$6)</f>
        <v>0</v>
      </c>
      <c r="AJ9" s="1">
        <f>AVERAGE(AJ$3:AJ$6)</f>
        <v>0</v>
      </c>
      <c r="AK9" s="1">
        <f>AVERAGE(AK$3:AK$6)</f>
        <v>0</v>
      </c>
      <c r="AL9" s="1">
        <f>AVERAGE(AL$3:AL$6)</f>
        <v>0</v>
      </c>
      <c r="AM9" s="1">
        <f>AVERAGE(AM$3:AM$6)</f>
        <v>0</v>
      </c>
      <c r="AN9" s="1">
        <f>AVERAGE(AN$3:AN$6)</f>
        <v>0</v>
      </c>
      <c r="AO9" s="1">
        <f>AVERAGE(AO$3:AO$6)</f>
        <v>0</v>
      </c>
      <c r="AP9" s="1">
        <f>AVERAGE(AP$3:AP$6)</f>
        <v>0</v>
      </c>
      <c r="AQ9" s="1">
        <f>AVERAGE(AQ$3:AQ$6)</f>
        <v>0</v>
      </c>
      <c r="AR9" s="1">
        <f>AVERAGE(AR$3:AR$6)</f>
        <v>0</v>
      </c>
      <c r="AS9" s="1">
        <f>AVERAGE(AS$3:AS$6)</f>
        <v>0</v>
      </c>
      <c r="AT9" s="1">
        <f>AVERAGE(AT$3:AT$6)</f>
        <v>0</v>
      </c>
      <c r="AU9" s="1">
        <f>AVERAGE(AU$3:AU$6)</f>
        <v>0</v>
      </c>
      <c r="AV9" s="1">
        <f>AVERAGE(AV$3:AV$6)</f>
        <v>0</v>
      </c>
      <c r="AW9" s="1">
        <f>AVERAGE(AW$3:AW$6)</f>
        <v>0</v>
      </c>
      <c r="AX9" s="1">
        <f>AVERAGE(AX$3:AX$6)</f>
        <v>0</v>
      </c>
      <c r="AY9" s="1">
        <f>AVERAGE(AY$3:AY$6)</f>
        <v>0</v>
      </c>
      <c r="AZ9" s="1">
        <f>AVERAGE(AZ$3:AZ$6)</f>
        <v>0</v>
      </c>
    </row>
    <row r="10" spans="1:52">
      <c r="A10" s="1" t="s">
        <v>6</v>
      </c>
      <c r="B10" s="1">
        <f>STDEV(B$3:B$6)</f>
        <v>0</v>
      </c>
      <c r="C10" s="1">
        <f>STDEV(C$3:C$6)</f>
        <v>0</v>
      </c>
      <c r="D10" s="1"/>
      <c r="E10" s="1">
        <f>STDEV(E$3:E$6)</f>
        <v>0</v>
      </c>
      <c r="F10" s="1">
        <f>STDEV(F$3:F$6)</f>
        <v>0</v>
      </c>
      <c r="G10" s="1">
        <f>STDEV(G$3:G$6)</f>
        <v>0</v>
      </c>
      <c r="H10" s="1">
        <f>STDEV(H$3:H$6)</f>
        <v>0</v>
      </c>
      <c r="I10" s="1">
        <f>STDEV(I$3:I$6)</f>
        <v>0</v>
      </c>
      <c r="J10" s="1"/>
      <c r="K10" s="1">
        <f>STDEV(K$3:K$6)</f>
        <v>0</v>
      </c>
      <c r="L10" s="1">
        <f>STDEV(L$3:L$6)</f>
        <v>0</v>
      </c>
      <c r="M10" s="1">
        <f>STDEV(M$3:M$6)</f>
        <v>0</v>
      </c>
      <c r="N10" s="1">
        <f>STDEV(N$3:N$6)</f>
        <v>0</v>
      </c>
      <c r="O10" s="1">
        <f>STDEV(O$3:O$6)</f>
        <v>0</v>
      </c>
      <c r="P10" s="1"/>
      <c r="Q10" s="1">
        <f>STDEV(Q$3:Q$6)</f>
        <v>0</v>
      </c>
      <c r="R10" s="1">
        <f>STDEV(R$3:R$6)</f>
        <v>0</v>
      </c>
      <c r="S10" s="1">
        <f>STDEV(S$3:S$6)</f>
        <v>0</v>
      </c>
      <c r="T10" s="1">
        <f>STDEV(T$3:T$6)</f>
        <v>0</v>
      </c>
      <c r="U10" s="1">
        <f>STDEV(U$3:U$6)</f>
        <v>0</v>
      </c>
      <c r="V10" s="1"/>
      <c r="W10" s="1">
        <f>STDEV(W$3:W$6)</f>
        <v>0</v>
      </c>
      <c r="X10" s="1">
        <f>STDEV(X$3:X$6)</f>
        <v>0</v>
      </c>
      <c r="Y10" s="1">
        <f>STDEV(Y$3:Y$6)</f>
        <v>0</v>
      </c>
      <c r="Z10" s="1">
        <f>STDEV(Z$3:Z$6)</f>
        <v>0</v>
      </c>
      <c r="AA10" s="1">
        <f>STDEV(AA$3:AA$6)</f>
        <v>0</v>
      </c>
      <c r="AB10" s="1"/>
      <c r="AC10" s="1">
        <f>STDEV(AC$3:AC$6)</f>
        <v>0</v>
      </c>
      <c r="AD10" s="1">
        <f>STDEV(AD$3:AD$6)</f>
        <v>0</v>
      </c>
      <c r="AE10" s="1">
        <f>STDEV(AE$3:AE$6)</f>
        <v>0</v>
      </c>
      <c r="AF10" s="1">
        <f>STDEV(AF$3:AF$6)</f>
        <v>0</v>
      </c>
      <c r="AG10" s="1">
        <f>STDEV(AG$3:AG$6)</f>
        <v>0</v>
      </c>
      <c r="AH10" s="1"/>
      <c r="AI10" s="1">
        <f>STDEV(AI$3:AI$6)</f>
        <v>0</v>
      </c>
      <c r="AJ10" s="1">
        <f>STDEV(AJ$3:AJ$6)</f>
        <v>0</v>
      </c>
      <c r="AK10" s="1">
        <f>STDEV(AK$3:AK$6)</f>
        <v>0</v>
      </c>
      <c r="AL10" s="1">
        <f>STDEV(AL$3:AL$6)</f>
        <v>0</v>
      </c>
      <c r="AM10" s="1">
        <f>STDEV(AM$3:AM$6)</f>
        <v>0</v>
      </c>
      <c r="AN10" s="1">
        <f>STDEV(AN$3:AN$6)</f>
        <v>0</v>
      </c>
      <c r="AO10" s="1">
        <f>STDEV(AO$3:AO$6)</f>
        <v>0</v>
      </c>
      <c r="AP10" s="1">
        <f>STDEV(AP$3:AP$6)</f>
        <v>0</v>
      </c>
      <c r="AQ10" s="1">
        <f>STDEV(AQ$3:AQ$6)</f>
        <v>0</v>
      </c>
      <c r="AR10" s="1">
        <f>STDEV(AR$3:AR$6)</f>
        <v>0</v>
      </c>
      <c r="AS10" s="1">
        <f>STDEV(AS$3:AS$6)</f>
        <v>0</v>
      </c>
      <c r="AT10" s="1">
        <f>STDEV(AT$3:AT$6)</f>
        <v>0</v>
      </c>
      <c r="AU10" s="1">
        <f>STDEV(AU$3:AU$6)</f>
        <v>0</v>
      </c>
      <c r="AV10" s="1">
        <f>STDEV(AV$3:AV$6)</f>
        <v>0</v>
      </c>
      <c r="AW10" s="1">
        <f>STDEV(AW$3:AW$6)</f>
        <v>0</v>
      </c>
      <c r="AX10" s="1">
        <f>STDEV(AX$3:AX$6)</f>
        <v>0</v>
      </c>
      <c r="AY10" s="1">
        <f>STDEV(AY$3:AY$6)</f>
        <v>0</v>
      </c>
      <c r="AZ10" s="1">
        <f>STDEV(AZ$3:AZ$6)</f>
        <v>0</v>
      </c>
    </row>
    <row r="11" spans="1:52">
      <c r="A11" s="1" t="s">
        <v>7</v>
      </c>
      <c r="B11" s="1">
        <f>SUMPRODUCT(--(B$3:B$6-$AL$3:$AL$6)^2)^0.5</f>
        <v>0</v>
      </c>
      <c r="C11" s="1">
        <f>SUMPRODUCT(--(C$3:C$6-$AM$3:$AM$6)^2)^0.5</f>
        <v>0</v>
      </c>
      <c r="D11" s="1"/>
      <c r="E11" s="1">
        <f>SUMPRODUCT(--(E$3:E$6-$AN$3:$AN$6)^2)^0.5</f>
        <v>0</v>
      </c>
      <c r="F11" s="1">
        <f>SUMPRODUCT(--(F$3:F$6-$AO$3:$AO$6)^2)^0.5</f>
        <v>0</v>
      </c>
      <c r="G11" s="1">
        <f>SUMPRODUCT(--(G$3:G$6-$AP$3:$AP$6)^2)^0.5</f>
        <v>0</v>
      </c>
      <c r="H11" s="1">
        <f>SUMPRODUCT(--(H$3:H$6-$AL$3:$AL$6)^2)^0.5</f>
        <v>0</v>
      </c>
      <c r="I11" s="1">
        <f>SUMPRODUCT(--(I$3:I$6-$AM$3:$AM$6)^2)^0.5</f>
        <v>0</v>
      </c>
      <c r="J11" s="1"/>
      <c r="K11" s="1">
        <f>SUMPRODUCT(--(K$3:K$6-$AN$3:$AN$6)^2)^0.5</f>
        <v>0</v>
      </c>
      <c r="L11" s="1">
        <f>SUMPRODUCT(--(L$3:L$6-$AO$3:$AO$6)^2)^0.5</f>
        <v>0</v>
      </c>
      <c r="M11" s="1">
        <f>SUMPRODUCT(--(M$3:M$6-$AP$3:$AP$6)^2)^0.5</f>
        <v>0</v>
      </c>
      <c r="N11" s="1">
        <f>SUMPRODUCT(--(N$3:N$6-$AL$3:$AL$6)^2)^0.5</f>
        <v>0</v>
      </c>
      <c r="O11" s="1">
        <f>SUMPRODUCT(--(O$3:O$6-$AM$3:$AM$6)^2)^0.5</f>
        <v>0</v>
      </c>
      <c r="P11" s="1"/>
      <c r="Q11" s="1">
        <f>SUMPRODUCT(--(Q$3:Q$6-$AN$3:$AN$6)^2)^0.5</f>
        <v>0</v>
      </c>
      <c r="R11" s="1">
        <f>SUMPRODUCT(--(R$3:R$6-$AO$3:$AO$6)^2)^0.5</f>
        <v>0</v>
      </c>
      <c r="S11" s="1">
        <f>SUMPRODUCT(--(S$3:S$6-$AP$3:$AP$6)^2)^0.5</f>
        <v>0</v>
      </c>
      <c r="T11" s="1">
        <f>SUMPRODUCT(--(T$3:T$6-$AL$3:$AL$6)^2)^0.5</f>
        <v>0</v>
      </c>
      <c r="U11" s="1">
        <f>SUMPRODUCT(--(U$3:U$6-$AM$3:$AM$6)^2)^0.5</f>
        <v>0</v>
      </c>
      <c r="V11" s="1"/>
      <c r="W11" s="1">
        <f>SUMPRODUCT(--(W$3:W$6-$AN$3:$AN$6)^2)^0.5</f>
        <v>0</v>
      </c>
      <c r="X11" s="1">
        <f>SUMPRODUCT(--(X$3:X$6-$AO$3:$AO$6)^2)^0.5</f>
        <v>0</v>
      </c>
      <c r="Y11" s="1">
        <f>SUMPRODUCT(--(Y$3:Y$6-$AP$3:$AP$6)^2)^0.5</f>
        <v>0</v>
      </c>
      <c r="Z11" s="1">
        <f>SUMPRODUCT(--(Z$3:Z$6-$AL$3:$AL$6)^2)^0.5</f>
        <v>0</v>
      </c>
      <c r="AA11" s="1">
        <f>SUMPRODUCT(--(AA$3:AA$6-$AM$3:$AM$6)^2)^0.5</f>
        <v>0</v>
      </c>
      <c r="AB11" s="1"/>
      <c r="AC11" s="1">
        <f>SUMPRODUCT(--(AC$3:AC$6-$AN$3:$AN$6)^2)^0.5</f>
        <v>0</v>
      </c>
      <c r="AD11" s="1">
        <f>SUMPRODUCT(--(AD$3:AD$6-$AO$3:$AO$6)^2)^0.5</f>
        <v>0</v>
      </c>
      <c r="AE11" s="1">
        <f>SUMPRODUCT(--(AE$3:AE$6-$AP$3:$AP$6)^2)^0.5</f>
        <v>0</v>
      </c>
      <c r="AF11" s="1">
        <f>SUMPRODUCT(--(AF$3:AF$6-$AL$3:$AL$6)^2)^0.5</f>
        <v>0</v>
      </c>
      <c r="AG11" s="1">
        <f>SUMPRODUCT(--(AG$3:AG$6-$AM$3:$AM$6)^2)^0.5</f>
        <v>0</v>
      </c>
      <c r="AH11" s="1"/>
      <c r="AI11" s="1">
        <f>SUMPRODUCT(--(AI$3:AI$6-$AN$3:$AN$6)^2)^0.5</f>
        <v>0</v>
      </c>
      <c r="AJ11" s="1">
        <f>SUMPRODUCT(--(AJ$3:AJ$6-$AO$3:$AO$6)^2)^0.5</f>
        <v>0</v>
      </c>
      <c r="AK11" s="1">
        <f>SUMPRODUCT(--(AK$3:AK$6-$AP$3:$AP$6)^2)^0.5</f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>
      <c r="A12" s="1" t="s">
        <v>8</v>
      </c>
      <c r="B12" s="1">
        <f>SUMPRODUCT(NOT(ISBLANK(B$3:B$6))*(B$3:B$6=$AL$3:$AL$6))</f>
        <v>0</v>
      </c>
      <c r="C12" s="1">
        <f>SUMPRODUCT(NOT(ISBLANK(C$3:C$6))*(C$3:C$6=$AM$3:$AM$6))</f>
        <v>0</v>
      </c>
      <c r="D12" s="1"/>
      <c r="E12" s="1">
        <f>SUMPRODUCT(NOT(ISBLANK(E$3:E$6))*(E$3:E$6=$AN$3:$AN$6))</f>
        <v>0</v>
      </c>
      <c r="F12" s="1">
        <f>SUMPRODUCT(NOT(ISBLANK(F$3:F$6))*(F$3:F$6=$AO$3:$AO$6))</f>
        <v>0</v>
      </c>
      <c r="G12" s="1">
        <f>SUMPRODUCT(NOT(ISBLANK(G$3:G$6))*(G$3:G$6=$AP$3:$AP$6))</f>
        <v>0</v>
      </c>
      <c r="H12" s="1">
        <f>SUMPRODUCT(NOT(ISBLANK(H$3:H$6))*(H$3:H$6=$AL$3:$AL$6))</f>
        <v>0</v>
      </c>
      <c r="I12" s="1">
        <f>SUMPRODUCT(NOT(ISBLANK(I$3:I$6))*(I$3:I$6=$AM$3:$AM$6))</f>
        <v>0</v>
      </c>
      <c r="J12" s="1"/>
      <c r="K12" s="1">
        <f>SUMPRODUCT(NOT(ISBLANK(K$3:K$6))*(K$3:K$6=$AN$3:$AN$6))</f>
        <v>0</v>
      </c>
      <c r="L12" s="1">
        <f>SUMPRODUCT(NOT(ISBLANK(L$3:L$6))*(L$3:L$6=$AO$3:$AO$6))</f>
        <v>0</v>
      </c>
      <c r="M12" s="1">
        <f>SUMPRODUCT(NOT(ISBLANK(M$3:M$6))*(M$3:M$6=$AP$3:$AP$6))</f>
        <v>0</v>
      </c>
      <c r="N12" s="1">
        <f>SUMPRODUCT(NOT(ISBLANK(N$3:N$6))*(N$3:N$6=$AL$3:$AL$6))</f>
        <v>0</v>
      </c>
      <c r="O12" s="1">
        <f>SUMPRODUCT(NOT(ISBLANK(O$3:O$6))*(O$3:O$6=$AM$3:$AM$6))</f>
        <v>0</v>
      </c>
      <c r="P12" s="1"/>
      <c r="Q12" s="1">
        <f>SUMPRODUCT(NOT(ISBLANK(Q$3:Q$6))*(Q$3:Q$6=$AN$3:$AN$6))</f>
        <v>0</v>
      </c>
      <c r="R12" s="1">
        <f>SUMPRODUCT(NOT(ISBLANK(R$3:R$6))*(R$3:R$6=$AO$3:$AO$6))</f>
        <v>0</v>
      </c>
      <c r="S12" s="1">
        <f>SUMPRODUCT(NOT(ISBLANK(S$3:S$6))*(S$3:S$6=$AP$3:$AP$6))</f>
        <v>0</v>
      </c>
      <c r="T12" s="1">
        <f>SUMPRODUCT(NOT(ISBLANK(T$3:T$6))*(T$3:T$6=$AL$3:$AL$6))</f>
        <v>0</v>
      </c>
      <c r="U12" s="1">
        <f>SUMPRODUCT(NOT(ISBLANK(U$3:U$6))*(U$3:U$6=$AM$3:$AM$6))</f>
        <v>0</v>
      </c>
      <c r="V12" s="1"/>
      <c r="W12" s="1">
        <f>SUMPRODUCT(NOT(ISBLANK(W$3:W$6))*(W$3:W$6=$AN$3:$AN$6))</f>
        <v>0</v>
      </c>
      <c r="X12" s="1">
        <f>SUMPRODUCT(NOT(ISBLANK(X$3:X$6))*(X$3:X$6=$AO$3:$AO$6))</f>
        <v>0</v>
      </c>
      <c r="Y12" s="1">
        <f>SUMPRODUCT(NOT(ISBLANK(Y$3:Y$6))*(Y$3:Y$6=$AP$3:$AP$6))</f>
        <v>0</v>
      </c>
      <c r="Z12" s="1">
        <f>SUMPRODUCT(NOT(ISBLANK(Z$3:Z$6))*(Z$3:Z$6=$AL$3:$AL$6))</f>
        <v>0</v>
      </c>
      <c r="AA12" s="1">
        <f>SUMPRODUCT(NOT(ISBLANK(AA$3:AA$6))*(AA$3:AA$6=$AM$3:$AM$6))</f>
        <v>0</v>
      </c>
      <c r="AB12" s="1"/>
      <c r="AC12" s="1">
        <f>SUMPRODUCT(NOT(ISBLANK(AC$3:AC$6))*(AC$3:AC$6=$AN$3:$AN$6))</f>
        <v>0</v>
      </c>
      <c r="AD12" s="1">
        <f>SUMPRODUCT(NOT(ISBLANK(AD$3:AD$6))*(AD$3:AD$6=$AO$3:$AO$6))</f>
        <v>0</v>
      </c>
      <c r="AE12" s="1">
        <f>SUMPRODUCT(NOT(ISBLANK(AE$3:AE$6))*(AE$3:AE$6=$AP$3:$AP$6))</f>
        <v>0</v>
      </c>
      <c r="AF12" s="1">
        <f>SUMPRODUCT(NOT(ISBLANK(AF$3:AF$6))*(AF$3:AF$6=$AL$3:$AL$6))</f>
        <v>0</v>
      </c>
      <c r="AG12" s="1">
        <f>SUMPRODUCT(NOT(ISBLANK(AG$3:AG$6))*(AG$3:AG$6=$AM$3:$AM$6))</f>
        <v>0</v>
      </c>
      <c r="AH12" s="1"/>
      <c r="AI12" s="1">
        <f>SUMPRODUCT(NOT(ISBLANK(AI$3:AI$6))*(AI$3:AI$6=$AN$3:$AN$6))</f>
        <v>0</v>
      </c>
      <c r="AJ12" s="1">
        <f>SUMPRODUCT(NOT(ISBLANK(AJ$3:AJ$6))*(AJ$3:AJ$6=$AO$3:$AO$6))</f>
        <v>0</v>
      </c>
      <c r="AK12" s="1">
        <f>SUMPRODUCT(NOT(ISBLANK(AK$3:AK$6))*(AK$3:AK$6=$AP$3:$AP$6))</f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>
      <c r="A13" s="1" t="s">
        <v>9</v>
      </c>
      <c r="B13" s="1">
        <f>SUMPRODUCT(NOT(ISBLANK(B$3:B$6))*(B$3:B$6&lt;$AQ$3:$AQ$6))</f>
        <v>0</v>
      </c>
      <c r="C13" s="1">
        <f>SUMPRODUCT(NOT(ISBLANK(C$3:C$6))*(C$3:C$6&lt;$AR$3:$AR$6))</f>
        <v>0</v>
      </c>
      <c r="D13" s="1"/>
      <c r="E13" s="1">
        <f>SUMPRODUCT(NOT(ISBLANK(E$3:E$6))*(E$3:E$6&lt;$AS$3:$AS$6))</f>
        <v>0</v>
      </c>
      <c r="F13" s="1">
        <f>SUMPRODUCT(NOT(ISBLANK(F$3:F$6))*(F$3:F$6&lt;$AT$3:$AT$6))</f>
        <v>0</v>
      </c>
      <c r="G13" s="1">
        <f>SUMPRODUCT(NOT(ISBLANK(G$3:G$6))*(G$3:G$6&lt;$AU$3:$AU$6))</f>
        <v>0</v>
      </c>
      <c r="H13" s="1">
        <f>SUMPRODUCT(NOT(ISBLANK(H$3:H$6))*(H$3:H$6&lt;$AQ$3:$AQ$6))</f>
        <v>0</v>
      </c>
      <c r="I13" s="1">
        <f>SUMPRODUCT(NOT(ISBLANK(I$3:I$6))*(I$3:I$6&lt;$AR$3:$AR$6))</f>
        <v>0</v>
      </c>
      <c r="J13" s="1"/>
      <c r="K13" s="1">
        <f>SUMPRODUCT(NOT(ISBLANK(K$3:K$6))*(K$3:K$6&lt;$AS$3:$AS$6))</f>
        <v>0</v>
      </c>
      <c r="L13" s="1">
        <f>SUMPRODUCT(NOT(ISBLANK(L$3:L$6))*(L$3:L$6&lt;$AT$3:$AT$6))</f>
        <v>0</v>
      </c>
      <c r="M13" s="1">
        <f>SUMPRODUCT(NOT(ISBLANK(M$3:M$6))*(M$3:M$6&lt;$AU$3:$AU$6))</f>
        <v>0</v>
      </c>
      <c r="N13" s="1">
        <f>SUMPRODUCT(NOT(ISBLANK(N$3:N$6))*(N$3:N$6&lt;$AQ$3:$AQ$6))</f>
        <v>0</v>
      </c>
      <c r="O13" s="1">
        <f>SUMPRODUCT(NOT(ISBLANK(O$3:O$6))*(O$3:O$6&lt;$AR$3:$AR$6))</f>
        <v>0</v>
      </c>
      <c r="P13" s="1"/>
      <c r="Q13" s="1">
        <f>SUMPRODUCT(NOT(ISBLANK(Q$3:Q$6))*(Q$3:Q$6&lt;$AS$3:$AS$6))</f>
        <v>0</v>
      </c>
      <c r="R13" s="1">
        <f>SUMPRODUCT(NOT(ISBLANK(R$3:R$6))*(R$3:R$6&lt;$AT$3:$AT$6))</f>
        <v>0</v>
      </c>
      <c r="S13" s="1">
        <f>SUMPRODUCT(NOT(ISBLANK(S$3:S$6))*(S$3:S$6&lt;$AU$3:$AU$6))</f>
        <v>0</v>
      </c>
      <c r="T13" s="1">
        <f>SUMPRODUCT(NOT(ISBLANK(T$3:T$6))*(T$3:T$6&lt;$AQ$3:$AQ$6))</f>
        <v>0</v>
      </c>
      <c r="U13" s="1">
        <f>SUMPRODUCT(NOT(ISBLANK(U$3:U$6))*(U$3:U$6&lt;$AR$3:$AR$6))</f>
        <v>0</v>
      </c>
      <c r="V13" s="1"/>
      <c r="W13" s="1">
        <f>SUMPRODUCT(NOT(ISBLANK(W$3:W$6))*(W$3:W$6&lt;$AS$3:$AS$6))</f>
        <v>0</v>
      </c>
      <c r="X13" s="1">
        <f>SUMPRODUCT(NOT(ISBLANK(X$3:X$6))*(X$3:X$6&lt;$AT$3:$AT$6))</f>
        <v>0</v>
      </c>
      <c r="Y13" s="1">
        <f>SUMPRODUCT(NOT(ISBLANK(Y$3:Y$6))*(Y$3:Y$6&lt;$AU$3:$AU$6))</f>
        <v>0</v>
      </c>
      <c r="Z13" s="1">
        <f>SUMPRODUCT(NOT(ISBLANK(Z$3:Z$6))*(Z$3:Z$6&lt;$AQ$3:$AQ$6))</f>
        <v>0</v>
      </c>
      <c r="AA13" s="1">
        <f>SUMPRODUCT(NOT(ISBLANK(AA$3:AA$6))*(AA$3:AA$6&lt;$AR$3:$AR$6))</f>
        <v>0</v>
      </c>
      <c r="AB13" s="1"/>
      <c r="AC13" s="1">
        <f>SUMPRODUCT(NOT(ISBLANK(AC$3:AC$6))*(AC$3:AC$6&lt;$AS$3:$AS$6))</f>
        <v>0</v>
      </c>
      <c r="AD13" s="1">
        <f>SUMPRODUCT(NOT(ISBLANK(AD$3:AD$6))*(AD$3:AD$6&lt;$AT$3:$AT$6))</f>
        <v>0</v>
      </c>
      <c r="AE13" s="1">
        <f>SUMPRODUCT(NOT(ISBLANK(AE$3:AE$6))*(AE$3:AE$6&lt;$AU$3:$AU$6))</f>
        <v>0</v>
      </c>
      <c r="AF13" s="1">
        <f>SUMPRODUCT(NOT(ISBLANK(AF$3:AF$6))*(AF$3:AF$6&lt;$AQ$3:$AQ$6))</f>
        <v>0</v>
      </c>
      <c r="AG13" s="1">
        <f>SUMPRODUCT(NOT(ISBLANK(AG$3:AG$6))*(AG$3:AG$6&lt;$AR$3:$AR$6))</f>
        <v>0</v>
      </c>
      <c r="AH13" s="1"/>
      <c r="AI13" s="1">
        <f>SUMPRODUCT(NOT(ISBLANK(AI$3:AI$6))*(AI$3:AI$6&lt;$AS$3:$AS$6))</f>
        <v>0</v>
      </c>
      <c r="AJ13" s="1">
        <f>SUMPRODUCT(NOT(ISBLANK(AJ$3:AJ$6))*(AJ$3:AJ$6&lt;$AT$3:$AT$6))</f>
        <v>0</v>
      </c>
      <c r="AK13" s="1">
        <f>SUMPRODUCT(NOT(ISBLANK(AK$3:AK$6))*(AK$3:AK$6&lt;$AU$3:$AU$6))</f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>
      <c r="A14" s="1" t="s">
        <v>10</v>
      </c>
      <c r="B14" s="1">
        <f>SUMPRODUCT((NOT(ISBLANK(B$3:B$6))*(B$3:B$6&gt;$AQ$3:$AQ$6))+ISBLANK(B$3:B$6))</f>
        <v>0</v>
      </c>
      <c r="C14" s="1">
        <f>SUMPRODUCT((NOT(ISBLANK(C$3:C$6))*(C$3:C$6&gt;$AR$3:$AR$6))+ISBLANK(C$3:C$6))</f>
        <v>0</v>
      </c>
      <c r="D14" s="1"/>
      <c r="E14" s="1">
        <f>SUMPRODUCT((NOT(ISBLANK(E$3:E$6))*(E$3:E$6&gt;$AS$3:$AS$6))+ISBLANK(E$3:E$6))</f>
        <v>0</v>
      </c>
      <c r="F14" s="1">
        <f>SUMPRODUCT((NOT(ISBLANK(F$3:F$6))*(F$3:F$6&gt;$AT$3:$AT$6))+ISBLANK(F$3:F$6))</f>
        <v>0</v>
      </c>
      <c r="G14" s="1">
        <f>SUMPRODUCT((NOT(ISBLANK(G$3:G$6))*(G$3:G$6&gt;$AU$3:$AU$6))+ISBLANK(G$3:G$6))</f>
        <v>0</v>
      </c>
      <c r="H14" s="1">
        <f>SUMPRODUCT((NOT(ISBLANK(H$3:H$6))*(H$3:H$6&gt;$AQ$3:$AQ$6))+ISBLANK(H$3:H$6))</f>
        <v>0</v>
      </c>
      <c r="I14" s="1">
        <f>SUMPRODUCT((NOT(ISBLANK(I$3:I$6))*(I$3:I$6&gt;$AR$3:$AR$6))+ISBLANK(I$3:I$6))</f>
        <v>0</v>
      </c>
      <c r="J14" s="1"/>
      <c r="K14" s="1">
        <f>SUMPRODUCT((NOT(ISBLANK(K$3:K$6))*(K$3:K$6&gt;$AS$3:$AS$6))+ISBLANK(K$3:K$6))</f>
        <v>0</v>
      </c>
      <c r="L14" s="1">
        <f>SUMPRODUCT((NOT(ISBLANK(L$3:L$6))*(L$3:L$6&gt;$AT$3:$AT$6))+ISBLANK(L$3:L$6))</f>
        <v>0</v>
      </c>
      <c r="M14" s="1">
        <f>SUMPRODUCT((NOT(ISBLANK(M$3:M$6))*(M$3:M$6&gt;$AU$3:$AU$6))+ISBLANK(M$3:M$6))</f>
        <v>0</v>
      </c>
      <c r="N14" s="1">
        <f>SUMPRODUCT((NOT(ISBLANK(N$3:N$6))*(N$3:N$6&gt;$AQ$3:$AQ$6))+ISBLANK(N$3:N$6))</f>
        <v>0</v>
      </c>
      <c r="O14" s="1">
        <f>SUMPRODUCT((NOT(ISBLANK(O$3:O$6))*(O$3:O$6&gt;$AR$3:$AR$6))+ISBLANK(O$3:O$6))</f>
        <v>0</v>
      </c>
      <c r="P14" s="1"/>
      <c r="Q14" s="1">
        <f>SUMPRODUCT((NOT(ISBLANK(Q$3:Q$6))*(Q$3:Q$6&gt;$AS$3:$AS$6))+ISBLANK(Q$3:Q$6))</f>
        <v>0</v>
      </c>
      <c r="R14" s="1">
        <f>SUMPRODUCT((NOT(ISBLANK(R$3:R$6))*(R$3:R$6&gt;$AT$3:$AT$6))+ISBLANK(R$3:R$6))</f>
        <v>0</v>
      </c>
      <c r="S14" s="1">
        <f>SUMPRODUCT((NOT(ISBLANK(S$3:S$6))*(S$3:S$6&gt;$AU$3:$AU$6))+ISBLANK(S$3:S$6))</f>
        <v>0</v>
      </c>
      <c r="T14" s="1">
        <f>SUMPRODUCT((NOT(ISBLANK(T$3:T$6))*(T$3:T$6&gt;$AQ$3:$AQ$6))+ISBLANK(T$3:T$6))</f>
        <v>0</v>
      </c>
      <c r="U14" s="1">
        <f>SUMPRODUCT((NOT(ISBLANK(U$3:U$6))*(U$3:U$6&gt;$AR$3:$AR$6))+ISBLANK(U$3:U$6))</f>
        <v>0</v>
      </c>
      <c r="V14" s="1"/>
      <c r="W14" s="1">
        <f>SUMPRODUCT((NOT(ISBLANK(W$3:W$6))*(W$3:W$6&gt;$AS$3:$AS$6))+ISBLANK(W$3:W$6))</f>
        <v>0</v>
      </c>
      <c r="X14" s="1">
        <f>SUMPRODUCT((NOT(ISBLANK(X$3:X$6))*(X$3:X$6&gt;$AT$3:$AT$6))+ISBLANK(X$3:X$6))</f>
        <v>0</v>
      </c>
      <c r="Y14" s="1">
        <f>SUMPRODUCT((NOT(ISBLANK(Y$3:Y$6))*(Y$3:Y$6&gt;$AU$3:$AU$6))+ISBLANK(Y$3:Y$6))</f>
        <v>0</v>
      </c>
      <c r="Z14" s="1">
        <f>SUMPRODUCT((NOT(ISBLANK(Z$3:Z$6))*(Z$3:Z$6&gt;$AQ$3:$AQ$6))+ISBLANK(Z$3:Z$6))</f>
        <v>0</v>
      </c>
      <c r="AA14" s="1">
        <f>SUMPRODUCT((NOT(ISBLANK(AA$3:AA$6))*(AA$3:AA$6&gt;$AR$3:$AR$6))+ISBLANK(AA$3:AA$6))</f>
        <v>0</v>
      </c>
      <c r="AB14" s="1"/>
      <c r="AC14" s="1">
        <f>SUMPRODUCT((NOT(ISBLANK(AC$3:AC$6))*(AC$3:AC$6&gt;$AS$3:$AS$6))+ISBLANK(AC$3:AC$6))</f>
        <v>0</v>
      </c>
      <c r="AD14" s="1">
        <f>SUMPRODUCT((NOT(ISBLANK(AD$3:AD$6))*(AD$3:AD$6&gt;$AT$3:$AT$6))+ISBLANK(AD$3:AD$6))</f>
        <v>0</v>
      </c>
      <c r="AE14" s="1">
        <f>SUMPRODUCT((NOT(ISBLANK(AE$3:AE$6))*(AE$3:AE$6&gt;$AU$3:$AU$6))+ISBLANK(AE$3:AE$6))</f>
        <v>0</v>
      </c>
      <c r="AF14" s="1">
        <f>SUMPRODUCT((NOT(ISBLANK(AF$3:AF$6))*(AF$3:AF$6&gt;$AQ$3:$AQ$6))+ISBLANK(AF$3:AF$6))</f>
        <v>0</v>
      </c>
      <c r="AG14" s="1">
        <f>SUMPRODUCT((NOT(ISBLANK(AG$3:AG$6))*(AG$3:AG$6&gt;$AR$3:$AR$6))+ISBLANK(AG$3:AG$6))</f>
        <v>0</v>
      </c>
      <c r="AH14" s="1"/>
      <c r="AI14" s="1">
        <f>SUMPRODUCT((NOT(ISBLANK(AI$3:AI$6))*(AI$3:AI$6&gt;$AS$3:$AS$6))+ISBLANK(AI$3:AI$6))</f>
        <v>0</v>
      </c>
      <c r="AJ14" s="1">
        <f>SUMPRODUCT((NOT(ISBLANK(AJ$3:AJ$6))*(AJ$3:AJ$6&gt;$AT$3:$AT$6))+ISBLANK(AJ$3:AJ$6))</f>
        <v>0</v>
      </c>
      <c r="AK14" s="1">
        <f>SUMPRODUCT((NOT(ISBLANK(AK$3:AK$6))*(AK$3:AK$6&gt;$AU$3:$AU$6))+ISBLANK(AK$3:AK$6))</f>
        <v>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>
      <c r="A15" s="1" t="s">
        <v>11</v>
      </c>
      <c r="B15" s="1">
        <f>SUMPRODUCT((NOT(ISBLANK(B$3:B$6))*(B$3:B$6=$AV$3:$AV$6))+ISBLANK(B$3:B$6))</f>
        <v>0</v>
      </c>
      <c r="C15" s="1">
        <f>SUMPRODUCT((NOT(ISBLANK(C$3:C$6))*(C$3:C$6=$AW$3:$AW$6))+ISBLANK(C$3:C$6))</f>
        <v>0</v>
      </c>
      <c r="D15" s="1"/>
      <c r="E15" s="1">
        <f>SUMPRODUCT((NOT(ISBLANK(E$3:E$6))*(E$3:E$6=$AX$3:$AX$6))+ISBLANK(E$3:E$6))</f>
        <v>0</v>
      </c>
      <c r="F15" s="1">
        <f>SUMPRODUCT((NOT(ISBLANK(F$3:F$6))*(F$3:F$6=$AY$3:$AY$6))+ISBLANK(F$3:F$6))</f>
        <v>0</v>
      </c>
      <c r="G15" s="1">
        <f>SUMPRODUCT((NOT(ISBLANK(G$3:G$6))*(G$3:G$6=$AZ$3:$AZ$6))+ISBLANK(G$3:G$6))</f>
        <v>0</v>
      </c>
      <c r="H15" s="1">
        <f>SUMPRODUCT((NOT(ISBLANK(H$3:H$6))*(H$3:H$6=$AV$3:$AV$6))+ISBLANK(H$3:H$6))</f>
        <v>0</v>
      </c>
      <c r="I15" s="1">
        <f>SUMPRODUCT((NOT(ISBLANK(I$3:I$6))*(I$3:I$6=$AW$3:$AW$6))+ISBLANK(I$3:I$6))</f>
        <v>0</v>
      </c>
      <c r="J15" s="1"/>
      <c r="K15" s="1">
        <f>SUMPRODUCT((NOT(ISBLANK(K$3:K$6))*(K$3:K$6=$AX$3:$AX$6))+ISBLANK(K$3:K$6))</f>
        <v>0</v>
      </c>
      <c r="L15" s="1">
        <f>SUMPRODUCT((NOT(ISBLANK(L$3:L$6))*(L$3:L$6=$AY$3:$AY$6))+ISBLANK(L$3:L$6))</f>
        <v>0</v>
      </c>
      <c r="M15" s="1">
        <f>SUMPRODUCT((NOT(ISBLANK(M$3:M$6))*(M$3:M$6=$AZ$3:$AZ$6))+ISBLANK(M$3:M$6))</f>
        <v>0</v>
      </c>
      <c r="N15" s="1">
        <f>SUMPRODUCT((NOT(ISBLANK(N$3:N$6))*(N$3:N$6=$AV$3:$AV$6))+ISBLANK(N$3:N$6))</f>
        <v>0</v>
      </c>
      <c r="O15" s="1">
        <f>SUMPRODUCT((NOT(ISBLANK(O$3:O$6))*(O$3:O$6=$AW$3:$AW$6))+ISBLANK(O$3:O$6))</f>
        <v>0</v>
      </c>
      <c r="P15" s="1"/>
      <c r="Q15" s="1">
        <f>SUMPRODUCT((NOT(ISBLANK(Q$3:Q$6))*(Q$3:Q$6=$AX$3:$AX$6))+ISBLANK(Q$3:Q$6))</f>
        <v>0</v>
      </c>
      <c r="R15" s="1">
        <f>SUMPRODUCT((NOT(ISBLANK(R$3:R$6))*(R$3:R$6=$AY$3:$AY$6))+ISBLANK(R$3:R$6))</f>
        <v>0</v>
      </c>
      <c r="S15" s="1">
        <f>SUMPRODUCT((NOT(ISBLANK(S$3:S$6))*(S$3:S$6=$AZ$3:$AZ$6))+ISBLANK(S$3:S$6))</f>
        <v>0</v>
      </c>
      <c r="T15" s="1">
        <f>SUMPRODUCT((NOT(ISBLANK(T$3:T$6))*(T$3:T$6=$AV$3:$AV$6))+ISBLANK(T$3:T$6))</f>
        <v>0</v>
      </c>
      <c r="U15" s="1">
        <f>SUMPRODUCT((NOT(ISBLANK(U$3:U$6))*(U$3:U$6=$AW$3:$AW$6))+ISBLANK(U$3:U$6))</f>
        <v>0</v>
      </c>
      <c r="V15" s="1"/>
      <c r="W15" s="1">
        <f>SUMPRODUCT((NOT(ISBLANK(W$3:W$6))*(W$3:W$6=$AX$3:$AX$6))+ISBLANK(W$3:W$6))</f>
        <v>0</v>
      </c>
      <c r="X15" s="1">
        <f>SUMPRODUCT((NOT(ISBLANK(X$3:X$6))*(X$3:X$6=$AY$3:$AY$6))+ISBLANK(X$3:X$6))</f>
        <v>0</v>
      </c>
      <c r="Y15" s="1">
        <f>SUMPRODUCT((NOT(ISBLANK(Y$3:Y$6))*(Y$3:Y$6=$AZ$3:$AZ$6))+ISBLANK(Y$3:Y$6))</f>
        <v>0</v>
      </c>
      <c r="Z15" s="1">
        <f>SUMPRODUCT((NOT(ISBLANK(Z$3:Z$6))*(Z$3:Z$6=$AV$3:$AV$6))+ISBLANK(Z$3:Z$6))</f>
        <v>0</v>
      </c>
      <c r="AA15" s="1">
        <f>SUMPRODUCT((NOT(ISBLANK(AA$3:AA$6))*(AA$3:AA$6=$AW$3:$AW$6))+ISBLANK(AA$3:AA$6))</f>
        <v>0</v>
      </c>
      <c r="AB15" s="1"/>
      <c r="AC15" s="1">
        <f>SUMPRODUCT((NOT(ISBLANK(AC$3:AC$6))*(AC$3:AC$6=$AX$3:$AX$6))+ISBLANK(AC$3:AC$6))</f>
        <v>0</v>
      </c>
      <c r="AD15" s="1">
        <f>SUMPRODUCT((NOT(ISBLANK(AD$3:AD$6))*(AD$3:AD$6=$AY$3:$AY$6))+ISBLANK(AD$3:AD$6))</f>
        <v>0</v>
      </c>
      <c r="AE15" s="1">
        <f>SUMPRODUCT((NOT(ISBLANK(AE$3:AE$6))*(AE$3:AE$6=$AZ$3:$AZ$6))+ISBLANK(AE$3:AE$6))</f>
        <v>0</v>
      </c>
      <c r="AF15" s="1">
        <f>SUMPRODUCT((NOT(ISBLANK(AF$3:AF$6))*(AF$3:AF$6=$AV$3:$AV$6))+ISBLANK(AF$3:AF$6))</f>
        <v>0</v>
      </c>
      <c r="AG15" s="1">
        <f>SUMPRODUCT((NOT(ISBLANK(AG$3:AG$6))*(AG$3:AG$6=$AW$3:$AW$6))+ISBLANK(AG$3:AG$6))</f>
        <v>0</v>
      </c>
      <c r="AH15" s="1"/>
      <c r="AI15" s="1">
        <f>SUMPRODUCT((NOT(ISBLANK(AI$3:AI$6))*(AI$3:AI$6=$AX$3:$AX$6))+ISBLANK(AI$3:AI$6))</f>
        <v>0</v>
      </c>
      <c r="AJ15" s="1">
        <f>SUMPRODUCT((NOT(ISBLANK(AJ$3:AJ$6))*(AJ$3:AJ$6=$AY$3:$AY$6))+ISBLANK(AJ$3:AJ$6))</f>
        <v>0</v>
      </c>
      <c r="AK15" s="1">
        <f>SUMPRODUCT((NOT(ISBLANK(AK$3:AK$6))*(AK$3:AK$6=$AZ$3:$AZ$6))+ISBLANK(AK$3:AK$6))</f>
        <v>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52" width="11.42578125" customWidth="1"/>
  </cols>
  <sheetData>
    <row r="1" spans="1:52">
      <c r="A1" s="1"/>
      <c r="B1" s="1" t="s">
        <v>12</v>
      </c>
      <c r="C1" s="1"/>
      <c r="D1" s="1"/>
      <c r="E1" s="1"/>
      <c r="F1" s="1"/>
      <c r="G1" s="1"/>
      <c r="H1" s="1" t="s">
        <v>20</v>
      </c>
      <c r="I1" s="1"/>
      <c r="J1" s="1"/>
      <c r="K1" s="1"/>
      <c r="L1" s="1"/>
      <c r="M1" s="1"/>
      <c r="N1" s="1" t="s">
        <v>21</v>
      </c>
      <c r="O1" s="1"/>
      <c r="P1" s="1"/>
      <c r="Q1" s="1"/>
      <c r="R1" s="1"/>
      <c r="S1" s="1"/>
      <c r="T1" s="1" t="s">
        <v>22</v>
      </c>
      <c r="U1" s="1"/>
      <c r="V1" s="1"/>
      <c r="W1" s="1"/>
      <c r="X1" s="1"/>
      <c r="Y1" s="1"/>
      <c r="Z1" s="1" t="s">
        <v>23</v>
      </c>
      <c r="AA1" s="1"/>
      <c r="AB1" s="1"/>
      <c r="AC1" s="1"/>
      <c r="AD1" s="1"/>
      <c r="AE1" s="1"/>
      <c r="AF1" s="1" t="s">
        <v>24</v>
      </c>
      <c r="AG1" s="1"/>
      <c r="AH1" s="1"/>
      <c r="AI1" s="1"/>
      <c r="AJ1" s="1"/>
      <c r="AK1" s="1"/>
      <c r="AL1" s="1" t="s">
        <v>25</v>
      </c>
      <c r="AM1" s="1"/>
      <c r="AN1" s="1"/>
      <c r="AO1" s="1"/>
      <c r="AP1" s="1"/>
      <c r="AQ1" s="1" t="s">
        <v>26</v>
      </c>
      <c r="AR1" s="1"/>
      <c r="AS1" s="1"/>
      <c r="AT1" s="1"/>
      <c r="AU1" s="1"/>
      <c r="AV1" s="1" t="s">
        <v>27</v>
      </c>
      <c r="AW1" s="1"/>
      <c r="AX1" s="1"/>
      <c r="AY1" s="1"/>
      <c r="AZ1" s="1"/>
    </row>
    <row r="2" spans="1:52">
      <c r="A2" s="1"/>
      <c r="B2" s="1" t="s">
        <v>13</v>
      </c>
      <c r="C2" s="1" t="s">
        <v>14</v>
      </c>
      <c r="D2" s="1" t="s">
        <v>15</v>
      </c>
      <c r="E2" s="1" t="s">
        <v>17</v>
      </c>
      <c r="F2" s="1" t="s">
        <v>18</v>
      </c>
      <c r="G2" s="1" t="s">
        <v>19</v>
      </c>
      <c r="H2" s="1" t="s">
        <v>13</v>
      </c>
      <c r="I2" s="1" t="s">
        <v>14</v>
      </c>
      <c r="J2" s="1" t="s">
        <v>15</v>
      </c>
      <c r="K2" s="1" t="s">
        <v>17</v>
      </c>
      <c r="L2" s="1" t="s">
        <v>18</v>
      </c>
      <c r="M2" s="1" t="s">
        <v>19</v>
      </c>
      <c r="N2" s="1" t="s">
        <v>13</v>
      </c>
      <c r="O2" s="1" t="s">
        <v>14</v>
      </c>
      <c r="P2" s="1" t="s">
        <v>15</v>
      </c>
      <c r="Q2" s="1" t="s">
        <v>17</v>
      </c>
      <c r="R2" s="1" t="s">
        <v>18</v>
      </c>
      <c r="S2" s="1" t="s">
        <v>19</v>
      </c>
      <c r="T2" s="1" t="s">
        <v>13</v>
      </c>
      <c r="U2" s="1" t="s">
        <v>14</v>
      </c>
      <c r="V2" s="1" t="s">
        <v>15</v>
      </c>
      <c r="W2" s="1" t="s">
        <v>17</v>
      </c>
      <c r="X2" s="1" t="s">
        <v>18</v>
      </c>
      <c r="Y2" s="1" t="s">
        <v>19</v>
      </c>
      <c r="Z2" s="1" t="s">
        <v>13</v>
      </c>
      <c r="AA2" s="1" t="s">
        <v>14</v>
      </c>
      <c r="AB2" s="1" t="s">
        <v>15</v>
      </c>
      <c r="AC2" s="1" t="s">
        <v>17</v>
      </c>
      <c r="AD2" s="1" t="s">
        <v>18</v>
      </c>
      <c r="AE2" s="1" t="s">
        <v>19</v>
      </c>
      <c r="AF2" s="1" t="s">
        <v>13</v>
      </c>
      <c r="AG2" s="1" t="s">
        <v>14</v>
      </c>
      <c r="AH2" s="1" t="s">
        <v>15</v>
      </c>
      <c r="AI2" s="1" t="s">
        <v>17</v>
      </c>
      <c r="AJ2" s="1" t="s">
        <v>18</v>
      </c>
      <c r="AK2" s="1" t="s">
        <v>19</v>
      </c>
      <c r="AL2" s="1" t="s">
        <v>13</v>
      </c>
      <c r="AM2" s="1" t="s">
        <v>14</v>
      </c>
      <c r="AN2" s="1" t="s">
        <v>17</v>
      </c>
      <c r="AO2" s="1" t="s">
        <v>18</v>
      </c>
      <c r="AP2" s="1" t="s">
        <v>19</v>
      </c>
      <c r="AQ2" s="1" t="s">
        <v>13</v>
      </c>
      <c r="AR2" s="1" t="s">
        <v>14</v>
      </c>
      <c r="AS2" s="1" t="s">
        <v>17</v>
      </c>
      <c r="AT2" s="1" t="s">
        <v>18</v>
      </c>
      <c r="AU2" s="1" t="s">
        <v>19</v>
      </c>
      <c r="AV2" s="1" t="s">
        <v>13</v>
      </c>
      <c r="AW2" s="1" t="s">
        <v>14</v>
      </c>
      <c r="AX2" s="1" t="s">
        <v>17</v>
      </c>
      <c r="AY2" s="1" t="s">
        <v>18</v>
      </c>
      <c r="AZ2" s="1" t="s">
        <v>19</v>
      </c>
    </row>
    <row r="3" spans="1:52">
      <c r="A3" s="1" t="s">
        <v>29</v>
      </c>
      <c r="B3" s="1">
        <f>AVERAGE(Instances!B3:Instances!B6)</f>
        <v>0</v>
      </c>
      <c r="C3" s="1">
        <f>AVERAGE(Instances!C3:Instances!C6)</f>
        <v>0</v>
      </c>
      <c r="D3" s="1"/>
      <c r="E3" s="1">
        <f>AVERAGE(Instances!E3:Instances!E6)</f>
        <v>0</v>
      </c>
      <c r="F3" s="1">
        <f>AVERAGE(Instances!F3:Instances!F6)</f>
        <v>0</v>
      </c>
      <c r="G3" s="1">
        <f>AVERAGE(Instances!G3:Instances!G6)</f>
        <v>0</v>
      </c>
      <c r="H3" s="1">
        <f>AVERAGE(Instances!H3:Instances!H6)</f>
        <v>0</v>
      </c>
      <c r="I3" s="1">
        <f>AVERAGE(Instances!I3:Instances!I6)</f>
        <v>0</v>
      </c>
      <c r="J3" s="1"/>
      <c r="K3" s="1">
        <f>AVERAGE(Instances!K3:Instances!K6)</f>
        <v>0</v>
      </c>
      <c r="L3" s="1">
        <f>AVERAGE(Instances!L3:Instances!L6)</f>
        <v>0</v>
      </c>
      <c r="M3" s="1">
        <f>AVERAGE(Instances!M3:Instances!M6)</f>
        <v>0</v>
      </c>
      <c r="N3" s="1">
        <f>AVERAGE(Instances!N3:Instances!N6)</f>
        <v>0</v>
      </c>
      <c r="O3" s="1">
        <f>AVERAGE(Instances!O3:Instances!O6)</f>
        <v>0</v>
      </c>
      <c r="P3" s="1"/>
      <c r="Q3" s="1">
        <f>AVERAGE(Instances!Q3:Instances!Q6)</f>
        <v>0</v>
      </c>
      <c r="R3" s="1">
        <f>AVERAGE(Instances!R3:Instances!R6)</f>
        <v>0</v>
      </c>
      <c r="S3" s="1">
        <f>AVERAGE(Instances!S3:Instances!S6)</f>
        <v>0</v>
      </c>
      <c r="T3" s="1">
        <f>AVERAGE(Instances!T3:Instances!T6)</f>
        <v>0</v>
      </c>
      <c r="U3" s="1">
        <f>AVERAGE(Instances!U3:Instances!U6)</f>
        <v>0</v>
      </c>
      <c r="V3" s="1"/>
      <c r="W3" s="1">
        <f>AVERAGE(Instances!W3:Instances!W6)</f>
        <v>0</v>
      </c>
      <c r="X3" s="1">
        <f>AVERAGE(Instances!X3:Instances!X6)</f>
        <v>0</v>
      </c>
      <c r="Y3" s="1">
        <f>AVERAGE(Instances!Y3:Instances!Y6)</f>
        <v>0</v>
      </c>
      <c r="Z3" s="1">
        <f>AVERAGE(Instances!Z3:Instances!Z6)</f>
        <v>0</v>
      </c>
      <c r="AA3" s="1">
        <f>AVERAGE(Instances!AA3:Instances!AA6)</f>
        <v>0</v>
      </c>
      <c r="AB3" s="1"/>
      <c r="AC3" s="1">
        <f>AVERAGE(Instances!AC3:Instances!AC6)</f>
        <v>0</v>
      </c>
      <c r="AD3" s="1">
        <f>AVERAGE(Instances!AD3:Instances!AD6)</f>
        <v>0</v>
      </c>
      <c r="AE3" s="1">
        <f>AVERAGE(Instances!AE3:Instances!AE6)</f>
        <v>0</v>
      </c>
      <c r="AF3" s="1">
        <f>AVERAGE(Instances!AF3:Instances!AF6)</f>
        <v>0</v>
      </c>
      <c r="AG3" s="1">
        <f>AVERAGE(Instances!AG3:Instances!AG6)</f>
        <v>0</v>
      </c>
      <c r="AH3" s="1"/>
      <c r="AI3" s="1">
        <f>AVERAGE(Instances!AI3:Instances!AI6)</f>
        <v>0</v>
      </c>
      <c r="AJ3" s="1">
        <f>AVERAGE(Instances!AJ3:Instances!AJ6)</f>
        <v>0</v>
      </c>
      <c r="AK3" s="1">
        <f>AVERAGE(Instances!AK3:Instances!AK6)</f>
        <v>0</v>
      </c>
      <c r="AL3" s="1">
        <f>MIN($B3,$H3,$N3,$T3,$Z3,$AF3)</f>
        <v>0</v>
      </c>
      <c r="AM3" s="1">
        <f>MIN($C3,$I3,$O3,$U3,$AA3,$AG3)</f>
        <v>0</v>
      </c>
      <c r="AN3" s="1">
        <f>MIN($E3,$K3,$Q3,$W3,$AC3,$AI3)</f>
        <v>0</v>
      </c>
      <c r="AO3" s="1">
        <f>MIN($F3,$L3,$R3,$X3,$AD3,$AJ3)</f>
        <v>0</v>
      </c>
      <c r="AP3" s="1">
        <f>MIN($G3,$M3,$S3,$Y3,$AE3,$AK3)</f>
        <v>0</v>
      </c>
      <c r="AQ3" s="1">
        <f>MEDIAN($B3,$H3,$N3,$T3,$Z3,$AF3)</f>
        <v>0</v>
      </c>
      <c r="AR3" s="1">
        <f>MEDIAN($C3,$I3,$O3,$U3,$AA3,$AG3)</f>
        <v>0</v>
      </c>
      <c r="AS3" s="1">
        <f>MEDIAN($E3,$K3,$Q3,$W3,$AC3,$AI3)</f>
        <v>0</v>
      </c>
      <c r="AT3" s="1">
        <f>MEDIAN($F3,$L3,$R3,$X3,$AD3,$AJ3)</f>
        <v>0</v>
      </c>
      <c r="AU3" s="1">
        <f>MEDIAN($G3,$M3,$S3,$Y3,$AE3,$AK3)</f>
        <v>0</v>
      </c>
      <c r="AV3" s="1">
        <f>MAX($B3,$H3,$N3,$T3,$Z3,$AF3)</f>
        <v>0</v>
      </c>
      <c r="AW3" s="1">
        <f>MAX($C3,$I3,$O3,$U3,$AA3,$AG3)</f>
        <v>0</v>
      </c>
      <c r="AX3" s="1">
        <f>MAX($E3,$K3,$Q3,$W3,$AC3,$AI3)</f>
        <v>0</v>
      </c>
      <c r="AY3" s="1">
        <f>MAX($F3,$L3,$R3,$X3,$AD3,$AJ3)</f>
        <v>0</v>
      </c>
      <c r="AZ3" s="1">
        <f>MAX($G3,$M3,$S3,$Y3,$AE3,$AK3)</f>
        <v>0</v>
      </c>
    </row>
    <row r="4" spans="1:5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 t="s">
        <v>4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/>
      <c r="K5" s="1">
        <f>SUM(K$3:K$3)</f>
        <v>0</v>
      </c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/>
      <c r="Q5" s="1">
        <f>SUM(Q$3:Q$3)</f>
        <v>0</v>
      </c>
      <c r="R5" s="1">
        <f>SUM(R$3:R$3)</f>
        <v>0</v>
      </c>
      <c r="S5" s="1">
        <f>SUM(S$3:S$3)</f>
        <v>0</v>
      </c>
      <c r="T5" s="1">
        <f>SUM(T$3:T$3)</f>
        <v>0</v>
      </c>
      <c r="U5" s="1">
        <f>SUM(U$3:U$3)</f>
        <v>0</v>
      </c>
      <c r="V5" s="1"/>
      <c r="W5" s="1">
        <f>SUM(W$3:W$3)</f>
        <v>0</v>
      </c>
      <c r="X5" s="1">
        <f>SUM(X$3:X$3)</f>
        <v>0</v>
      </c>
      <c r="Y5" s="1">
        <f>SUM(Y$3:Y$3)</f>
        <v>0</v>
      </c>
      <c r="Z5" s="1">
        <f>SUM(Z$3:Z$3)</f>
        <v>0</v>
      </c>
      <c r="AA5" s="1">
        <f>SUM(AA$3:AA$3)</f>
        <v>0</v>
      </c>
      <c r="AB5" s="1"/>
      <c r="AC5" s="1">
        <f>SUM(AC$3:AC$3)</f>
        <v>0</v>
      </c>
      <c r="AD5" s="1">
        <f>SUM(AD$3:AD$3)</f>
        <v>0</v>
      </c>
      <c r="AE5" s="1">
        <f>SUM(AE$3:AE$3)</f>
        <v>0</v>
      </c>
      <c r="AF5" s="1">
        <f>SUM(AF$3:AF$3)</f>
        <v>0</v>
      </c>
      <c r="AG5" s="1">
        <f>SUM(AG$3:AG$3)</f>
        <v>0</v>
      </c>
      <c r="AH5" s="1"/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>
        <f>SUM(AM$3:AM$3)</f>
        <v>0</v>
      </c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>
        <f>SUM(AR$3:AR$3)</f>
        <v>0</v>
      </c>
      <c r="AS5" s="1">
        <f>SUM(AS$3:AS$3)</f>
        <v>0</v>
      </c>
      <c r="AT5" s="1">
        <f>SUM(AT$3:AT$3)</f>
        <v>0</v>
      </c>
      <c r="AU5" s="1">
        <f>SUM(AU$3:AU$3)</f>
        <v>0</v>
      </c>
      <c r="AV5" s="1">
        <f>SUM(AV$3:AV$3)</f>
        <v>0</v>
      </c>
      <c r="AW5" s="1">
        <f>SUM(AW$3:AW$3)</f>
        <v>0</v>
      </c>
      <c r="AX5" s="1">
        <f>SUM(AX$3:AX$3)</f>
        <v>0</v>
      </c>
      <c r="AY5" s="1">
        <f>SUM(AY$3:AY$3)</f>
        <v>0</v>
      </c>
      <c r="AZ5" s="1">
        <f>SUM(AZ$3:AZ$3)</f>
        <v>0</v>
      </c>
    </row>
    <row r="6" spans="1:52">
      <c r="A6" s="1" t="s">
        <v>5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/>
      <c r="K6" s="1">
        <f>AVERAGE(K$3:K$3)</f>
        <v>0</v>
      </c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/>
      <c r="Q6" s="1">
        <f>AVERAGE(Q$3:Q$3)</f>
        <v>0</v>
      </c>
      <c r="R6" s="1">
        <f>AVERAGE(R$3:R$3)</f>
        <v>0</v>
      </c>
      <c r="S6" s="1">
        <f>AVERAGE(S$3:S$3)</f>
        <v>0</v>
      </c>
      <c r="T6" s="1">
        <f>AVERAGE(T$3:T$3)</f>
        <v>0</v>
      </c>
      <c r="U6" s="1">
        <f>AVERAGE(U$3:U$3)</f>
        <v>0</v>
      </c>
      <c r="V6" s="1"/>
      <c r="W6" s="1">
        <f>AVERAGE(W$3:W$3)</f>
        <v>0</v>
      </c>
      <c r="X6" s="1">
        <f>AVERAGE(X$3:X$3)</f>
        <v>0</v>
      </c>
      <c r="Y6" s="1">
        <f>AVERAGE(Y$3:Y$3)</f>
        <v>0</v>
      </c>
      <c r="Z6" s="1">
        <f>AVERAGE(Z$3:Z$3)</f>
        <v>0</v>
      </c>
      <c r="AA6" s="1">
        <f>AVERAGE(AA$3:AA$3)</f>
        <v>0</v>
      </c>
      <c r="AB6" s="1"/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>
        <f>AVERAGE(AF$3:AF$3)</f>
        <v>0</v>
      </c>
      <c r="AG6" s="1">
        <f>AVERAGE(AG$3:AG$3)</f>
        <v>0</v>
      </c>
      <c r="AH6" s="1"/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>
        <f>AVERAGE(AM$3:AM$3)</f>
        <v>0</v>
      </c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>
        <f>AVERAGE(AR$3:AR$3)</f>
        <v>0</v>
      </c>
      <c r="AS6" s="1">
        <f>AVERAGE(AS$3:AS$3)</f>
        <v>0</v>
      </c>
      <c r="AT6" s="1">
        <f>AVERAGE(AT$3:AT$3)</f>
        <v>0</v>
      </c>
      <c r="AU6" s="1">
        <f>AVERAGE(AU$3:AU$3)</f>
        <v>0</v>
      </c>
      <c r="AV6" s="1">
        <f>AVERAGE(AV$3:AV$3)</f>
        <v>0</v>
      </c>
      <c r="AW6" s="1">
        <f>AVERAGE(AW$3:AW$3)</f>
        <v>0</v>
      </c>
      <c r="AX6" s="1">
        <f>AVERAGE(AX$3:AX$3)</f>
        <v>0</v>
      </c>
      <c r="AY6" s="1">
        <f>AVERAGE(AY$3:AY$3)</f>
        <v>0</v>
      </c>
      <c r="AZ6" s="1">
        <f>AVERAGE(AZ$3:AZ$3)</f>
        <v>0</v>
      </c>
    </row>
    <row r="7" spans="1:52">
      <c r="A7" s="1" t="s">
        <v>6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/>
      <c r="K7" s="1">
        <f>STDEV(K$3:K$3)</f>
        <v>0</v>
      </c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/>
      <c r="Q7" s="1">
        <f>STDEV(Q$3:Q$3)</f>
        <v>0</v>
      </c>
      <c r="R7" s="1">
        <f>STDEV(R$3:R$3)</f>
        <v>0</v>
      </c>
      <c r="S7" s="1">
        <f>STDEV(S$3:S$3)</f>
        <v>0</v>
      </c>
      <c r="T7" s="1">
        <f>STDEV(T$3:T$3)</f>
        <v>0</v>
      </c>
      <c r="U7" s="1">
        <f>STDEV(U$3:U$3)</f>
        <v>0</v>
      </c>
      <c r="V7" s="1"/>
      <c r="W7" s="1">
        <f>STDEV(W$3:W$3)</f>
        <v>0</v>
      </c>
      <c r="X7" s="1">
        <f>STDEV(X$3:X$3)</f>
        <v>0</v>
      </c>
      <c r="Y7" s="1">
        <f>STDEV(Y$3:Y$3)</f>
        <v>0</v>
      </c>
      <c r="Z7" s="1">
        <f>STDEV(Z$3:Z$3)</f>
        <v>0</v>
      </c>
      <c r="AA7" s="1">
        <f>STDEV(AA$3:AA$3)</f>
        <v>0</v>
      </c>
      <c r="AB7" s="1"/>
      <c r="AC7" s="1">
        <f>STDEV(AC$3:AC$3)</f>
        <v>0</v>
      </c>
      <c r="AD7" s="1">
        <f>STDEV(AD$3:AD$3)</f>
        <v>0</v>
      </c>
      <c r="AE7" s="1">
        <f>STDEV(AE$3:AE$3)</f>
        <v>0</v>
      </c>
      <c r="AF7" s="1">
        <f>STDEV(AF$3:AF$3)</f>
        <v>0</v>
      </c>
      <c r="AG7" s="1">
        <f>STDEV(AG$3:AG$3)</f>
        <v>0</v>
      </c>
      <c r="AH7" s="1"/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>
        <f>STDEV(AM$3:AM$3)</f>
        <v>0</v>
      </c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>
        <f>STDEV(AR$3:AR$3)</f>
        <v>0</v>
      </c>
      <c r="AS7" s="1">
        <f>STDEV(AS$3:AS$3)</f>
        <v>0</v>
      </c>
      <c r="AT7" s="1">
        <f>STDEV(AT$3:AT$3)</f>
        <v>0</v>
      </c>
      <c r="AU7" s="1">
        <f>STDEV(AU$3:AU$3)</f>
        <v>0</v>
      </c>
      <c r="AV7" s="1">
        <f>STDEV(AV$3:AV$3)</f>
        <v>0</v>
      </c>
      <c r="AW7" s="1">
        <f>STDEV(AW$3:AW$3)</f>
        <v>0</v>
      </c>
      <c r="AX7" s="1">
        <f>STDEV(AX$3:AX$3)</f>
        <v>0</v>
      </c>
      <c r="AY7" s="1">
        <f>STDEV(AY$3:AY$3)</f>
        <v>0</v>
      </c>
      <c r="AZ7" s="1">
        <f>STDEV(AZ$3:AZ$3)</f>
        <v>0</v>
      </c>
    </row>
    <row r="8" spans="1:52">
      <c r="A8" s="1" t="s">
        <v>7</v>
      </c>
      <c r="B8" s="1">
        <f>SUMPRODUCT(--(B$3:B$3-$AL$3:$AL$3)^2)^0.5</f>
        <v>0</v>
      </c>
      <c r="C8" s="1">
        <f>SUMPRODUCT(--(C$3:C$3-$AM$3:$AM$3)^2)^0.5</f>
        <v>0</v>
      </c>
      <c r="D8" s="1"/>
      <c r="E8" s="1">
        <f>SUMPRODUCT(--(E$3:E$3-$AN$3:$AN$3)^2)^0.5</f>
        <v>0</v>
      </c>
      <c r="F8" s="1">
        <f>SUMPRODUCT(--(F$3:F$3-$AO$3:$AO$3)^2)^0.5</f>
        <v>0</v>
      </c>
      <c r="G8" s="1">
        <f>SUMPRODUCT(--(G$3:G$3-$AP$3:$AP$3)^2)^0.5</f>
        <v>0</v>
      </c>
      <c r="H8" s="1">
        <f>SUMPRODUCT(--(H$3:H$3-$AL$3:$AL$3)^2)^0.5</f>
        <v>0</v>
      </c>
      <c r="I8" s="1">
        <f>SUMPRODUCT(--(I$3:I$3-$AM$3:$AM$3)^2)^0.5</f>
        <v>0</v>
      </c>
      <c r="J8" s="1"/>
      <c r="K8" s="1">
        <f>SUMPRODUCT(--(K$3:K$3-$AN$3:$AN$3)^2)^0.5</f>
        <v>0</v>
      </c>
      <c r="L8" s="1">
        <f>SUMPRODUCT(--(L$3:L$3-$AO$3:$AO$3)^2)^0.5</f>
        <v>0</v>
      </c>
      <c r="M8" s="1">
        <f>SUMPRODUCT(--(M$3:M$3-$AP$3:$AP$3)^2)^0.5</f>
        <v>0</v>
      </c>
      <c r="N8" s="1">
        <f>SUMPRODUCT(--(N$3:N$3-$AL$3:$AL$3)^2)^0.5</f>
        <v>0</v>
      </c>
      <c r="O8" s="1">
        <f>SUMPRODUCT(--(O$3:O$3-$AM$3:$AM$3)^2)^0.5</f>
        <v>0</v>
      </c>
      <c r="P8" s="1"/>
      <c r="Q8" s="1">
        <f>SUMPRODUCT(--(Q$3:Q$3-$AN$3:$AN$3)^2)^0.5</f>
        <v>0</v>
      </c>
      <c r="R8" s="1">
        <f>SUMPRODUCT(--(R$3:R$3-$AO$3:$AO$3)^2)^0.5</f>
        <v>0</v>
      </c>
      <c r="S8" s="1">
        <f>SUMPRODUCT(--(S$3:S$3-$AP$3:$AP$3)^2)^0.5</f>
        <v>0</v>
      </c>
      <c r="T8" s="1">
        <f>SUMPRODUCT(--(T$3:T$3-$AL$3:$AL$3)^2)^0.5</f>
        <v>0</v>
      </c>
      <c r="U8" s="1">
        <f>SUMPRODUCT(--(U$3:U$3-$AM$3:$AM$3)^2)^0.5</f>
        <v>0</v>
      </c>
      <c r="V8" s="1"/>
      <c r="W8" s="1">
        <f>SUMPRODUCT(--(W$3:W$3-$AN$3:$AN$3)^2)^0.5</f>
        <v>0</v>
      </c>
      <c r="X8" s="1">
        <f>SUMPRODUCT(--(X$3:X$3-$AO$3:$AO$3)^2)^0.5</f>
        <v>0</v>
      </c>
      <c r="Y8" s="1">
        <f>SUMPRODUCT(--(Y$3:Y$3-$AP$3:$AP$3)^2)^0.5</f>
        <v>0</v>
      </c>
      <c r="Z8" s="1">
        <f>SUMPRODUCT(--(Z$3:Z$3-$AL$3:$AL$3)^2)^0.5</f>
        <v>0</v>
      </c>
      <c r="AA8" s="1">
        <f>SUMPRODUCT(--(AA$3:AA$3-$AM$3:$AM$3)^2)^0.5</f>
        <v>0</v>
      </c>
      <c r="AB8" s="1"/>
      <c r="AC8" s="1">
        <f>SUMPRODUCT(--(AC$3:AC$3-$AN$3:$AN$3)^2)^0.5</f>
        <v>0</v>
      </c>
      <c r="AD8" s="1">
        <f>SUMPRODUCT(--(AD$3:AD$3-$AO$3:$AO$3)^2)^0.5</f>
        <v>0</v>
      </c>
      <c r="AE8" s="1">
        <f>SUMPRODUCT(--(AE$3:AE$3-$AP$3:$AP$3)^2)^0.5</f>
        <v>0</v>
      </c>
      <c r="AF8" s="1">
        <f>SUMPRODUCT(--(AF$3:AF$3-$AL$3:$AL$3)^2)^0.5</f>
        <v>0</v>
      </c>
      <c r="AG8" s="1">
        <f>SUMPRODUCT(--(AG$3:AG$3-$AM$3:$AM$3)^2)^0.5</f>
        <v>0</v>
      </c>
      <c r="AH8" s="1"/>
      <c r="AI8" s="1">
        <f>SUMPRODUCT(--(AI$3:AI$3-$AN$3:$AN$3)^2)^0.5</f>
        <v>0</v>
      </c>
      <c r="AJ8" s="1">
        <f>SUMPRODUCT(--(AJ$3:AJ$3-$AO$3:$AO$3)^2)^0.5</f>
        <v>0</v>
      </c>
      <c r="AK8" s="1">
        <f>SUMPRODUCT(--(AK$3:AK$3-$AP$3:$AP$3)^2)^0.5</f>
        <v>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>
      <c r="A9" s="1" t="s">
        <v>8</v>
      </c>
      <c r="B9" s="1">
        <f>SUMPRODUCT(NOT(ISBLANK(B$3:B$3))*(B$3:B$3=$AL$3:$AL$3))</f>
        <v>0</v>
      </c>
      <c r="C9" s="1">
        <f>SUMPRODUCT(NOT(ISBLANK(C$3:C$3))*(C$3:C$3=$AM$3:$AM$3))</f>
        <v>0</v>
      </c>
      <c r="D9" s="1"/>
      <c r="E9" s="1">
        <f>SUMPRODUCT(NOT(ISBLANK(E$3:E$3))*(E$3:E$3=$AN$3:$AN$3))</f>
        <v>0</v>
      </c>
      <c r="F9" s="1">
        <f>SUMPRODUCT(NOT(ISBLANK(F$3:F$3))*(F$3:F$3=$AO$3:$AO$3))</f>
        <v>0</v>
      </c>
      <c r="G9" s="1">
        <f>SUMPRODUCT(NOT(ISBLANK(G$3:G$3))*(G$3:G$3=$AP$3:$AP$3))</f>
        <v>0</v>
      </c>
      <c r="H9" s="1">
        <f>SUMPRODUCT(NOT(ISBLANK(H$3:H$3))*(H$3:H$3=$AL$3:$AL$3))</f>
        <v>0</v>
      </c>
      <c r="I9" s="1">
        <f>SUMPRODUCT(NOT(ISBLANK(I$3:I$3))*(I$3:I$3=$AM$3:$AM$3))</f>
        <v>0</v>
      </c>
      <c r="J9" s="1"/>
      <c r="K9" s="1">
        <f>SUMPRODUCT(NOT(ISBLANK(K$3:K$3))*(K$3:K$3=$AN$3:$AN$3))</f>
        <v>0</v>
      </c>
      <c r="L9" s="1">
        <f>SUMPRODUCT(NOT(ISBLANK(L$3:L$3))*(L$3:L$3=$AO$3:$AO$3))</f>
        <v>0</v>
      </c>
      <c r="M9" s="1">
        <f>SUMPRODUCT(NOT(ISBLANK(M$3:M$3))*(M$3:M$3=$AP$3:$AP$3))</f>
        <v>0</v>
      </c>
      <c r="N9" s="1">
        <f>SUMPRODUCT(NOT(ISBLANK(N$3:N$3))*(N$3:N$3=$AL$3:$AL$3))</f>
        <v>0</v>
      </c>
      <c r="O9" s="1">
        <f>SUMPRODUCT(NOT(ISBLANK(O$3:O$3))*(O$3:O$3=$AM$3:$AM$3))</f>
        <v>0</v>
      </c>
      <c r="P9" s="1"/>
      <c r="Q9" s="1">
        <f>SUMPRODUCT(NOT(ISBLANK(Q$3:Q$3))*(Q$3:Q$3=$AN$3:$AN$3))</f>
        <v>0</v>
      </c>
      <c r="R9" s="1">
        <f>SUMPRODUCT(NOT(ISBLANK(R$3:R$3))*(R$3:R$3=$AO$3:$AO$3))</f>
        <v>0</v>
      </c>
      <c r="S9" s="1">
        <f>SUMPRODUCT(NOT(ISBLANK(S$3:S$3))*(S$3:S$3=$AP$3:$AP$3))</f>
        <v>0</v>
      </c>
      <c r="T9" s="1">
        <f>SUMPRODUCT(NOT(ISBLANK(T$3:T$3))*(T$3:T$3=$AL$3:$AL$3))</f>
        <v>0</v>
      </c>
      <c r="U9" s="1">
        <f>SUMPRODUCT(NOT(ISBLANK(U$3:U$3))*(U$3:U$3=$AM$3:$AM$3))</f>
        <v>0</v>
      </c>
      <c r="V9" s="1"/>
      <c r="W9" s="1">
        <f>SUMPRODUCT(NOT(ISBLANK(W$3:W$3))*(W$3:W$3=$AN$3:$AN$3))</f>
        <v>0</v>
      </c>
      <c r="X9" s="1">
        <f>SUMPRODUCT(NOT(ISBLANK(X$3:X$3))*(X$3:X$3=$AO$3:$AO$3))</f>
        <v>0</v>
      </c>
      <c r="Y9" s="1">
        <f>SUMPRODUCT(NOT(ISBLANK(Y$3:Y$3))*(Y$3:Y$3=$AP$3:$AP$3))</f>
        <v>0</v>
      </c>
      <c r="Z9" s="1">
        <f>SUMPRODUCT(NOT(ISBLANK(Z$3:Z$3))*(Z$3:Z$3=$AL$3:$AL$3))</f>
        <v>0</v>
      </c>
      <c r="AA9" s="1">
        <f>SUMPRODUCT(NOT(ISBLANK(AA$3:AA$3))*(AA$3:AA$3=$AM$3:$AM$3))</f>
        <v>0</v>
      </c>
      <c r="AB9" s="1"/>
      <c r="AC9" s="1">
        <f>SUMPRODUCT(NOT(ISBLANK(AC$3:AC$3))*(AC$3:AC$3=$AN$3:$AN$3))</f>
        <v>0</v>
      </c>
      <c r="AD9" s="1">
        <f>SUMPRODUCT(NOT(ISBLANK(AD$3:AD$3))*(AD$3:AD$3=$AO$3:$AO$3))</f>
        <v>0</v>
      </c>
      <c r="AE9" s="1">
        <f>SUMPRODUCT(NOT(ISBLANK(AE$3:AE$3))*(AE$3:AE$3=$AP$3:$AP$3))</f>
        <v>0</v>
      </c>
      <c r="AF9" s="1">
        <f>SUMPRODUCT(NOT(ISBLANK(AF$3:AF$3))*(AF$3:AF$3=$AL$3:$AL$3))</f>
        <v>0</v>
      </c>
      <c r="AG9" s="1">
        <f>SUMPRODUCT(NOT(ISBLANK(AG$3:AG$3))*(AG$3:AG$3=$AM$3:$AM$3))</f>
        <v>0</v>
      </c>
      <c r="AH9" s="1"/>
      <c r="AI9" s="1">
        <f>SUMPRODUCT(NOT(ISBLANK(AI$3:AI$3))*(AI$3:AI$3=$AN$3:$AN$3))</f>
        <v>0</v>
      </c>
      <c r="AJ9" s="1">
        <f>SUMPRODUCT(NOT(ISBLANK(AJ$3:AJ$3))*(AJ$3:AJ$3=$AO$3:$AO$3))</f>
        <v>0</v>
      </c>
      <c r="AK9" s="1">
        <f>SUMPRODUCT(NOT(ISBLANK(AK$3:AK$3))*(AK$3:AK$3=$AP$3:$AP$3))</f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>
      <c r="A10" s="1" t="s">
        <v>9</v>
      </c>
      <c r="B10" s="1">
        <f>SUMPRODUCT(NOT(ISBLANK(B$3:B$3))*(B$3:B$3&lt;$AQ$3:$AQ$3))</f>
        <v>0</v>
      </c>
      <c r="C10" s="1">
        <f>SUMPRODUCT(NOT(ISBLANK(C$3:C$3))*(C$3:C$3&lt;$AR$3:$AR$3))</f>
        <v>0</v>
      </c>
      <c r="D10" s="1"/>
      <c r="E10" s="1">
        <f>SUMPRODUCT(NOT(ISBLANK(E$3:E$3))*(E$3:E$3&lt;$AS$3:$AS$3))</f>
        <v>0</v>
      </c>
      <c r="F10" s="1">
        <f>SUMPRODUCT(NOT(ISBLANK(F$3:F$3))*(F$3:F$3&lt;$AT$3:$AT$3))</f>
        <v>0</v>
      </c>
      <c r="G10" s="1">
        <f>SUMPRODUCT(NOT(ISBLANK(G$3:G$3))*(G$3:G$3&lt;$AU$3:$AU$3))</f>
        <v>0</v>
      </c>
      <c r="H10" s="1">
        <f>SUMPRODUCT(NOT(ISBLANK(H$3:H$3))*(H$3:H$3&lt;$AQ$3:$AQ$3))</f>
        <v>0</v>
      </c>
      <c r="I10" s="1">
        <f>SUMPRODUCT(NOT(ISBLANK(I$3:I$3))*(I$3:I$3&lt;$AR$3:$AR$3))</f>
        <v>0</v>
      </c>
      <c r="J10" s="1"/>
      <c r="K10" s="1">
        <f>SUMPRODUCT(NOT(ISBLANK(K$3:K$3))*(K$3:K$3&lt;$AS$3:$AS$3))</f>
        <v>0</v>
      </c>
      <c r="L10" s="1">
        <f>SUMPRODUCT(NOT(ISBLANK(L$3:L$3))*(L$3:L$3&lt;$AT$3:$AT$3))</f>
        <v>0</v>
      </c>
      <c r="M10" s="1">
        <f>SUMPRODUCT(NOT(ISBLANK(M$3:M$3))*(M$3:M$3&lt;$AU$3:$AU$3))</f>
        <v>0</v>
      </c>
      <c r="N10" s="1">
        <f>SUMPRODUCT(NOT(ISBLANK(N$3:N$3))*(N$3:N$3&lt;$AQ$3:$AQ$3))</f>
        <v>0</v>
      </c>
      <c r="O10" s="1">
        <f>SUMPRODUCT(NOT(ISBLANK(O$3:O$3))*(O$3:O$3&lt;$AR$3:$AR$3))</f>
        <v>0</v>
      </c>
      <c r="P10" s="1"/>
      <c r="Q10" s="1">
        <f>SUMPRODUCT(NOT(ISBLANK(Q$3:Q$3))*(Q$3:Q$3&lt;$AS$3:$AS$3))</f>
        <v>0</v>
      </c>
      <c r="R10" s="1">
        <f>SUMPRODUCT(NOT(ISBLANK(R$3:R$3))*(R$3:R$3&lt;$AT$3:$AT$3))</f>
        <v>0</v>
      </c>
      <c r="S10" s="1">
        <f>SUMPRODUCT(NOT(ISBLANK(S$3:S$3))*(S$3:S$3&lt;$AU$3:$AU$3))</f>
        <v>0</v>
      </c>
      <c r="T10" s="1">
        <f>SUMPRODUCT(NOT(ISBLANK(T$3:T$3))*(T$3:T$3&lt;$AQ$3:$AQ$3))</f>
        <v>0</v>
      </c>
      <c r="U10" s="1">
        <f>SUMPRODUCT(NOT(ISBLANK(U$3:U$3))*(U$3:U$3&lt;$AR$3:$AR$3))</f>
        <v>0</v>
      </c>
      <c r="V10" s="1"/>
      <c r="W10" s="1">
        <f>SUMPRODUCT(NOT(ISBLANK(W$3:W$3))*(W$3:W$3&lt;$AS$3:$AS$3))</f>
        <v>0</v>
      </c>
      <c r="X10" s="1">
        <f>SUMPRODUCT(NOT(ISBLANK(X$3:X$3))*(X$3:X$3&lt;$AT$3:$AT$3))</f>
        <v>0</v>
      </c>
      <c r="Y10" s="1">
        <f>SUMPRODUCT(NOT(ISBLANK(Y$3:Y$3))*(Y$3:Y$3&lt;$AU$3:$AU$3))</f>
        <v>0</v>
      </c>
      <c r="Z10" s="1">
        <f>SUMPRODUCT(NOT(ISBLANK(Z$3:Z$3))*(Z$3:Z$3&lt;$AQ$3:$AQ$3))</f>
        <v>0</v>
      </c>
      <c r="AA10" s="1">
        <f>SUMPRODUCT(NOT(ISBLANK(AA$3:AA$3))*(AA$3:AA$3&lt;$AR$3:$AR$3))</f>
        <v>0</v>
      </c>
      <c r="AB10" s="1"/>
      <c r="AC10" s="1">
        <f>SUMPRODUCT(NOT(ISBLANK(AC$3:AC$3))*(AC$3:AC$3&lt;$AS$3:$AS$3))</f>
        <v>0</v>
      </c>
      <c r="AD10" s="1">
        <f>SUMPRODUCT(NOT(ISBLANK(AD$3:AD$3))*(AD$3:AD$3&lt;$AT$3:$AT$3))</f>
        <v>0</v>
      </c>
      <c r="AE10" s="1">
        <f>SUMPRODUCT(NOT(ISBLANK(AE$3:AE$3))*(AE$3:AE$3&lt;$AU$3:$AU$3))</f>
        <v>0</v>
      </c>
      <c r="AF10" s="1">
        <f>SUMPRODUCT(NOT(ISBLANK(AF$3:AF$3))*(AF$3:AF$3&lt;$AQ$3:$AQ$3))</f>
        <v>0</v>
      </c>
      <c r="AG10" s="1">
        <f>SUMPRODUCT(NOT(ISBLANK(AG$3:AG$3))*(AG$3:AG$3&lt;$AR$3:$AR$3))</f>
        <v>0</v>
      </c>
      <c r="AH10" s="1"/>
      <c r="AI10" s="1">
        <f>SUMPRODUCT(NOT(ISBLANK(AI$3:AI$3))*(AI$3:AI$3&lt;$AS$3:$AS$3))</f>
        <v>0</v>
      </c>
      <c r="AJ10" s="1">
        <f>SUMPRODUCT(NOT(ISBLANK(AJ$3:AJ$3))*(AJ$3:AJ$3&lt;$AT$3:$AT$3))</f>
        <v>0</v>
      </c>
      <c r="AK10" s="1">
        <f>SUMPRODUCT(NOT(ISBLANK(AK$3:AK$3))*(AK$3:AK$3&lt;$AU$3:$AU$3))</f>
        <v>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>
      <c r="A11" s="1" t="s">
        <v>10</v>
      </c>
      <c r="B11" s="1">
        <f>SUMPRODUCT((NOT(ISBLANK(B$3:B$3))*(B$3:B$3&gt;$AQ$3:$AQ$3))+ISBLANK(B$3:B$3))</f>
        <v>0</v>
      </c>
      <c r="C11" s="1">
        <f>SUMPRODUCT((NOT(ISBLANK(C$3:C$3))*(C$3:C$3&gt;$AR$3:$AR$3))+ISBLANK(C$3:C$3))</f>
        <v>0</v>
      </c>
      <c r="D11" s="1"/>
      <c r="E11" s="1">
        <f>SUMPRODUCT((NOT(ISBLANK(E$3:E$3))*(E$3:E$3&gt;$AS$3:$AS$3))+ISBLANK(E$3:E$3))</f>
        <v>0</v>
      </c>
      <c r="F11" s="1">
        <f>SUMPRODUCT((NOT(ISBLANK(F$3:F$3))*(F$3:F$3&gt;$AT$3:$AT$3))+ISBLANK(F$3:F$3))</f>
        <v>0</v>
      </c>
      <c r="G11" s="1">
        <f>SUMPRODUCT((NOT(ISBLANK(G$3:G$3))*(G$3:G$3&gt;$AU$3:$AU$3))+ISBLANK(G$3:G$3))</f>
        <v>0</v>
      </c>
      <c r="H11" s="1">
        <f>SUMPRODUCT((NOT(ISBLANK(H$3:H$3))*(H$3:H$3&gt;$AQ$3:$AQ$3))+ISBLANK(H$3:H$3))</f>
        <v>0</v>
      </c>
      <c r="I11" s="1">
        <f>SUMPRODUCT((NOT(ISBLANK(I$3:I$3))*(I$3:I$3&gt;$AR$3:$AR$3))+ISBLANK(I$3:I$3))</f>
        <v>0</v>
      </c>
      <c r="J11" s="1"/>
      <c r="K11" s="1">
        <f>SUMPRODUCT((NOT(ISBLANK(K$3:K$3))*(K$3:K$3&gt;$AS$3:$AS$3))+ISBLANK(K$3:K$3))</f>
        <v>0</v>
      </c>
      <c r="L11" s="1">
        <f>SUMPRODUCT((NOT(ISBLANK(L$3:L$3))*(L$3:L$3&gt;$AT$3:$AT$3))+ISBLANK(L$3:L$3))</f>
        <v>0</v>
      </c>
      <c r="M11" s="1">
        <f>SUMPRODUCT((NOT(ISBLANK(M$3:M$3))*(M$3:M$3&gt;$AU$3:$AU$3))+ISBLANK(M$3:M$3))</f>
        <v>0</v>
      </c>
      <c r="N11" s="1">
        <f>SUMPRODUCT((NOT(ISBLANK(N$3:N$3))*(N$3:N$3&gt;$AQ$3:$AQ$3))+ISBLANK(N$3:N$3))</f>
        <v>0</v>
      </c>
      <c r="O11" s="1">
        <f>SUMPRODUCT((NOT(ISBLANK(O$3:O$3))*(O$3:O$3&gt;$AR$3:$AR$3))+ISBLANK(O$3:O$3))</f>
        <v>0</v>
      </c>
      <c r="P11" s="1"/>
      <c r="Q11" s="1">
        <f>SUMPRODUCT((NOT(ISBLANK(Q$3:Q$3))*(Q$3:Q$3&gt;$AS$3:$AS$3))+ISBLANK(Q$3:Q$3))</f>
        <v>0</v>
      </c>
      <c r="R11" s="1">
        <f>SUMPRODUCT((NOT(ISBLANK(R$3:R$3))*(R$3:R$3&gt;$AT$3:$AT$3))+ISBLANK(R$3:R$3))</f>
        <v>0</v>
      </c>
      <c r="S11" s="1">
        <f>SUMPRODUCT((NOT(ISBLANK(S$3:S$3))*(S$3:S$3&gt;$AU$3:$AU$3))+ISBLANK(S$3:S$3))</f>
        <v>0</v>
      </c>
      <c r="T11" s="1">
        <f>SUMPRODUCT((NOT(ISBLANK(T$3:T$3))*(T$3:T$3&gt;$AQ$3:$AQ$3))+ISBLANK(T$3:T$3))</f>
        <v>0</v>
      </c>
      <c r="U11" s="1">
        <f>SUMPRODUCT((NOT(ISBLANK(U$3:U$3))*(U$3:U$3&gt;$AR$3:$AR$3))+ISBLANK(U$3:U$3))</f>
        <v>0</v>
      </c>
      <c r="V11" s="1"/>
      <c r="W11" s="1">
        <f>SUMPRODUCT((NOT(ISBLANK(W$3:W$3))*(W$3:W$3&gt;$AS$3:$AS$3))+ISBLANK(W$3:W$3))</f>
        <v>0</v>
      </c>
      <c r="X11" s="1">
        <f>SUMPRODUCT((NOT(ISBLANK(X$3:X$3))*(X$3:X$3&gt;$AT$3:$AT$3))+ISBLANK(X$3:X$3))</f>
        <v>0</v>
      </c>
      <c r="Y11" s="1">
        <f>SUMPRODUCT((NOT(ISBLANK(Y$3:Y$3))*(Y$3:Y$3&gt;$AU$3:$AU$3))+ISBLANK(Y$3:Y$3))</f>
        <v>0</v>
      </c>
      <c r="Z11" s="1">
        <f>SUMPRODUCT((NOT(ISBLANK(Z$3:Z$3))*(Z$3:Z$3&gt;$AQ$3:$AQ$3))+ISBLANK(Z$3:Z$3))</f>
        <v>0</v>
      </c>
      <c r="AA11" s="1">
        <f>SUMPRODUCT((NOT(ISBLANK(AA$3:AA$3))*(AA$3:AA$3&gt;$AR$3:$AR$3))+ISBLANK(AA$3:AA$3))</f>
        <v>0</v>
      </c>
      <c r="AB11" s="1"/>
      <c r="AC11" s="1">
        <f>SUMPRODUCT((NOT(ISBLANK(AC$3:AC$3))*(AC$3:AC$3&gt;$AS$3:$AS$3))+ISBLANK(AC$3:AC$3))</f>
        <v>0</v>
      </c>
      <c r="AD11" s="1">
        <f>SUMPRODUCT((NOT(ISBLANK(AD$3:AD$3))*(AD$3:AD$3&gt;$AT$3:$AT$3))+ISBLANK(AD$3:AD$3))</f>
        <v>0</v>
      </c>
      <c r="AE11" s="1">
        <f>SUMPRODUCT((NOT(ISBLANK(AE$3:AE$3))*(AE$3:AE$3&gt;$AU$3:$AU$3))+ISBLANK(AE$3:AE$3))</f>
        <v>0</v>
      </c>
      <c r="AF11" s="1">
        <f>SUMPRODUCT((NOT(ISBLANK(AF$3:AF$3))*(AF$3:AF$3&gt;$AQ$3:$AQ$3))+ISBLANK(AF$3:AF$3))</f>
        <v>0</v>
      </c>
      <c r="AG11" s="1">
        <f>SUMPRODUCT((NOT(ISBLANK(AG$3:AG$3))*(AG$3:AG$3&gt;$AR$3:$AR$3))+ISBLANK(AG$3:AG$3))</f>
        <v>0</v>
      </c>
      <c r="AH11" s="1"/>
      <c r="AI11" s="1">
        <f>SUMPRODUCT((NOT(ISBLANK(AI$3:AI$3))*(AI$3:AI$3&gt;$AS$3:$AS$3))+ISBLANK(AI$3:AI$3))</f>
        <v>0</v>
      </c>
      <c r="AJ11" s="1">
        <f>SUMPRODUCT((NOT(ISBLANK(AJ$3:AJ$3))*(AJ$3:AJ$3&gt;$AT$3:$AT$3))+ISBLANK(AJ$3:AJ$3))</f>
        <v>0</v>
      </c>
      <c r="AK11" s="1">
        <f>SUMPRODUCT((NOT(ISBLANK(AK$3:AK$3))*(AK$3:AK$3&gt;$AU$3:$AU$3))+ISBLANK(AK$3:AK$3))</f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>
      <c r="A12" s="1" t="s">
        <v>11</v>
      </c>
      <c r="B12" s="1">
        <f>SUMPRODUCT((NOT(ISBLANK(B$3:B$3))*(B$3:B$3=$AV$3:$AV$3))+ISBLANK(B$3:B$3))</f>
        <v>0</v>
      </c>
      <c r="C12" s="1">
        <f>SUMPRODUCT((NOT(ISBLANK(C$3:C$3))*(C$3:C$3=$AW$3:$AW$3))+ISBLANK(C$3:C$3))</f>
        <v>0</v>
      </c>
      <c r="D12" s="1"/>
      <c r="E12" s="1">
        <f>SUMPRODUCT((NOT(ISBLANK(E$3:E$3))*(E$3:E$3=$AX$3:$AX$3))+ISBLANK(E$3:E$3))</f>
        <v>0</v>
      </c>
      <c r="F12" s="1">
        <f>SUMPRODUCT((NOT(ISBLANK(F$3:F$3))*(F$3:F$3=$AY$3:$AY$3))+ISBLANK(F$3:F$3))</f>
        <v>0</v>
      </c>
      <c r="G12" s="1">
        <f>SUMPRODUCT((NOT(ISBLANK(G$3:G$3))*(G$3:G$3=$AZ$3:$AZ$3))+ISBLANK(G$3:G$3))</f>
        <v>0</v>
      </c>
      <c r="H12" s="1">
        <f>SUMPRODUCT((NOT(ISBLANK(H$3:H$3))*(H$3:H$3=$AV$3:$AV$3))+ISBLANK(H$3:H$3))</f>
        <v>0</v>
      </c>
      <c r="I12" s="1">
        <f>SUMPRODUCT((NOT(ISBLANK(I$3:I$3))*(I$3:I$3=$AW$3:$AW$3))+ISBLANK(I$3:I$3))</f>
        <v>0</v>
      </c>
      <c r="J12" s="1"/>
      <c r="K12" s="1">
        <f>SUMPRODUCT((NOT(ISBLANK(K$3:K$3))*(K$3:K$3=$AX$3:$AX$3))+ISBLANK(K$3:K$3))</f>
        <v>0</v>
      </c>
      <c r="L12" s="1">
        <f>SUMPRODUCT((NOT(ISBLANK(L$3:L$3))*(L$3:L$3=$AY$3:$AY$3))+ISBLANK(L$3:L$3))</f>
        <v>0</v>
      </c>
      <c r="M12" s="1">
        <f>SUMPRODUCT((NOT(ISBLANK(M$3:M$3))*(M$3:M$3=$AZ$3:$AZ$3))+ISBLANK(M$3:M$3))</f>
        <v>0</v>
      </c>
      <c r="N12" s="1">
        <f>SUMPRODUCT((NOT(ISBLANK(N$3:N$3))*(N$3:N$3=$AV$3:$AV$3))+ISBLANK(N$3:N$3))</f>
        <v>0</v>
      </c>
      <c r="O12" s="1">
        <f>SUMPRODUCT((NOT(ISBLANK(O$3:O$3))*(O$3:O$3=$AW$3:$AW$3))+ISBLANK(O$3:O$3))</f>
        <v>0</v>
      </c>
      <c r="P12" s="1"/>
      <c r="Q12" s="1">
        <f>SUMPRODUCT((NOT(ISBLANK(Q$3:Q$3))*(Q$3:Q$3=$AX$3:$AX$3))+ISBLANK(Q$3:Q$3))</f>
        <v>0</v>
      </c>
      <c r="R12" s="1">
        <f>SUMPRODUCT((NOT(ISBLANK(R$3:R$3))*(R$3:R$3=$AY$3:$AY$3))+ISBLANK(R$3:R$3))</f>
        <v>0</v>
      </c>
      <c r="S12" s="1">
        <f>SUMPRODUCT((NOT(ISBLANK(S$3:S$3))*(S$3:S$3=$AZ$3:$AZ$3))+ISBLANK(S$3:S$3))</f>
        <v>0</v>
      </c>
      <c r="T12" s="1">
        <f>SUMPRODUCT((NOT(ISBLANK(T$3:T$3))*(T$3:T$3=$AV$3:$AV$3))+ISBLANK(T$3:T$3))</f>
        <v>0</v>
      </c>
      <c r="U12" s="1">
        <f>SUMPRODUCT((NOT(ISBLANK(U$3:U$3))*(U$3:U$3=$AW$3:$AW$3))+ISBLANK(U$3:U$3))</f>
        <v>0</v>
      </c>
      <c r="V12" s="1"/>
      <c r="W12" s="1">
        <f>SUMPRODUCT((NOT(ISBLANK(W$3:W$3))*(W$3:W$3=$AX$3:$AX$3))+ISBLANK(W$3:W$3))</f>
        <v>0</v>
      </c>
      <c r="X12" s="1">
        <f>SUMPRODUCT((NOT(ISBLANK(X$3:X$3))*(X$3:X$3=$AY$3:$AY$3))+ISBLANK(X$3:X$3))</f>
        <v>0</v>
      </c>
      <c r="Y12" s="1">
        <f>SUMPRODUCT((NOT(ISBLANK(Y$3:Y$3))*(Y$3:Y$3=$AZ$3:$AZ$3))+ISBLANK(Y$3:Y$3))</f>
        <v>0</v>
      </c>
      <c r="Z12" s="1">
        <f>SUMPRODUCT((NOT(ISBLANK(Z$3:Z$3))*(Z$3:Z$3=$AV$3:$AV$3))+ISBLANK(Z$3:Z$3))</f>
        <v>0</v>
      </c>
      <c r="AA12" s="1">
        <f>SUMPRODUCT((NOT(ISBLANK(AA$3:AA$3))*(AA$3:AA$3=$AW$3:$AW$3))+ISBLANK(AA$3:AA$3))</f>
        <v>0</v>
      </c>
      <c r="AB12" s="1"/>
      <c r="AC12" s="1">
        <f>SUMPRODUCT((NOT(ISBLANK(AC$3:AC$3))*(AC$3:AC$3=$AX$3:$AX$3))+ISBLANK(AC$3:AC$3))</f>
        <v>0</v>
      </c>
      <c r="AD12" s="1">
        <f>SUMPRODUCT((NOT(ISBLANK(AD$3:AD$3))*(AD$3:AD$3=$AY$3:$AY$3))+ISBLANK(AD$3:AD$3))</f>
        <v>0</v>
      </c>
      <c r="AE12" s="1">
        <f>SUMPRODUCT((NOT(ISBLANK(AE$3:AE$3))*(AE$3:AE$3=$AZ$3:$AZ$3))+ISBLANK(AE$3:AE$3))</f>
        <v>0</v>
      </c>
      <c r="AF12" s="1">
        <f>SUMPRODUCT((NOT(ISBLANK(AF$3:AF$3))*(AF$3:AF$3=$AV$3:$AV$3))+ISBLANK(AF$3:AF$3))</f>
        <v>0</v>
      </c>
      <c r="AG12" s="1">
        <f>SUMPRODUCT((NOT(ISBLANK(AG$3:AG$3))*(AG$3:AG$3=$AW$3:$AW$3))+ISBLANK(AG$3:AG$3))</f>
        <v>0</v>
      </c>
      <c r="AH12" s="1"/>
      <c r="AI12" s="1">
        <f>SUMPRODUCT((NOT(ISBLANK(AI$3:AI$3))*(AI$3:AI$3=$AX$3:$AX$3))+ISBLANK(AI$3:AI$3))</f>
        <v>0</v>
      </c>
      <c r="AJ12" s="1">
        <f>SUMPRODUCT((NOT(ISBLANK(AJ$3:AJ$3))*(AJ$3:AJ$3=$AY$3:$AY$3))+ISBLANK(AJ$3:AJ$3))</f>
        <v>0</v>
      </c>
      <c r="AK12" s="1">
        <f>SUMPRODUCT((NOT(ISBLANK(AK$3:AK$3))*(AK$3:AK$3=$AZ$3:$AZ$3))+ISBLANK(AK$3:AK$3))</f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2026-02-14T22:47:12Z</dcterms:created>
  <dcterms:modified xsi:type="dcterms:W3CDTF">2026-02-14T22:47:12Z</dcterms:modified>
</cp:coreProperties>
</file>