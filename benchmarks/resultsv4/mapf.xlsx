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<sst xmlns="http://schemas.openxmlformats.org/spreadsheetml/2006/main" count="307" uniqueCount="60">
  <si>
    <t>instances/x6_y6_a1_f1</t>
  </si>
  <si>
    <t>instances/x6_y6_a1_f10</t>
  </si>
  <si>
    <t>instances/x6_y6_a1_f15</t>
  </si>
  <si>
    <t>instances/x6_y6_a1_f20</t>
  </si>
  <si>
    <t>instances/x6_y6_a1_f25</t>
  </si>
  <si>
    <t>instances/x6_y6_a1_f30</t>
  </si>
  <si>
    <t>instances/x6_y6_a1_f35</t>
  </si>
  <si>
    <t>instances/x6_y6_a1_f40</t>
  </si>
  <si>
    <t>instances/x6_y6_a1_f5</t>
  </si>
  <si>
    <t>instances/x6_y6_a2_f1</t>
  </si>
  <si>
    <t>instances/x6_y6_a2_f10</t>
  </si>
  <si>
    <t>instances/x6_y6_a2_f15</t>
  </si>
  <si>
    <t>instances/x6_y6_a2_f20</t>
  </si>
  <si>
    <t>instances/x6_y6_a2_f25</t>
  </si>
  <si>
    <t>instances/x6_y6_a2_f30</t>
  </si>
  <si>
    <t>instances/x6_y6_a2_f35</t>
  </si>
  <si>
    <t>instances/x6_y6_a2_f40</t>
  </si>
  <si>
    <t>instances/x6_y6_a2_f5</t>
  </si>
  <si>
    <t>instances/x6_y6_a3_f1</t>
  </si>
  <si>
    <t>instances/x6_y6_a3_f10</t>
  </si>
  <si>
    <t>instances/x6_y6_a3_f15</t>
  </si>
  <si>
    <t>instances/x6_y6_a3_f20</t>
  </si>
  <si>
    <t>instances/x6_y6_a3_f25</t>
  </si>
  <si>
    <t>instances/x6_y6_a3_f30</t>
  </si>
  <si>
    <t>instances/x6_y6_a3_f35</t>
  </si>
  <si>
    <t>instances/x6_y6_a3_f40</t>
  </si>
  <si>
    <t>instances/x6_y6_a3_f5</t>
  </si>
  <si>
    <t>instances/x6_y6_a4_f1</t>
  </si>
  <si>
    <t>instances/x6_y6_a4_f10</t>
  </si>
  <si>
    <t>instances/x6_y6_a4_f15</t>
  </si>
  <si>
    <t>instances/x6_y6_a4_f20</t>
  </si>
  <si>
    <t>instances/x6_y6_a4_f25</t>
  </si>
  <si>
    <t>instances/x6_y6_a4_f30</t>
  </si>
  <si>
    <t>instances/x6_y6_a4_f35</t>
  </si>
  <si>
    <t>instances/x6_y6_a4_f40</t>
  </si>
  <si>
    <t>instances/x6_y6_a4_f5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</si>
  <si>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</si>
  <si>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</si>
  <si>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</si>
  <si>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</si>
  <si>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</si>
  <si>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</si>
  <si>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</si>
  <si>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</si>
  <si>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memelingo-1/allapproaches_mlp-tplp-ht</t>
  </si>
  <si>
    <t>time</t>
  </si>
  <si>
    <t>stime</t>
  </si>
  <si>
    <t>status</t>
  </si>
  <si>
    <t>SATISFIABLE</t>
  </si>
  <si>
    <t>rules</t>
  </si>
  <si>
    <t>ctime</t>
  </si>
  <si>
    <t>fmtime</t>
  </si>
  <si>
    <t>memout</t>
  </si>
  <si>
    <t>memelingo-1/allapproaches_mlp-tplp-htc</t>
  </si>
  <si>
    <t>memelingo-1/allapproaches_mlp-tplp-htcdl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</si>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</sst>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40" width="11.42578125" customWidth="1"/>
  </cols>
  <sheetData>
    <row r="1" spans="1:40">
      <c r="A1" s="1"/>
      <c r="B1" s="1" t="s">
        <v>44</v>
      </c>
      <c r="C1" s="1"/>
      <c r="D1" s="1"/>
      <c r="E1" s="1"/>
      <c r="F1" s="1"/>
      <c r="G1" s="1"/>
      <c r="H1" s="1"/>
      <c r="I1" s="1" t="s">
        <v>53</v>
      </c>
      <c r="J1" s="1"/>
      <c r="K1" s="1"/>
      <c r="L1" s="1"/>
      <c r="M1" s="1"/>
      <c r="N1" s="1"/>
      <c r="O1" s="1"/>
      <c r="P1" s="1" t="s">
        <v>54</v>
      </c>
      <c r="Q1" s="1"/>
      <c r="R1" s="1"/>
      <c r="S1" s="1"/>
      <c r="T1" s="1"/>
      <c r="U1" s="1"/>
      <c r="V1" s="1"/>
      <c r="W1" s="1" t="s">
        <v>55</v>
      </c>
      <c r="X1" s="1"/>
      <c r="Y1" s="1"/>
      <c r="Z1" s="1"/>
      <c r="AA1" s="1"/>
      <c r="AB1" s="1"/>
      <c r="AC1" s="1" t="s">
        <v>56</v>
      </c>
      <c r="AD1" s="1"/>
      <c r="AE1" s="1"/>
      <c r="AF1" s="1"/>
      <c r="AG1" s="1"/>
      <c r="AH1" s="1"/>
      <c r="AI1" s="1" t="s">
        <v>57</v>
      </c>
      <c r="AJ1" s="1"/>
      <c r="AK1" s="1"/>
      <c r="AL1" s="1"/>
      <c r="AM1" s="1"/>
      <c r="AN1" s="1"/>
    </row>
    <row r="2" spans="1:40">
      <c r="A2" s="1"/>
      <c r="B2" s="1" t="s">
        <v>45</v>
      </c>
      <c r="C2" s="1" t="s">
        <v>46</v>
      </c>
      <c r="D2" s="1" t="s">
        <v>47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45</v>
      </c>
      <c r="J2" s="1" t="s">
        <v>46</v>
      </c>
      <c r="K2" s="1" t="s">
        <v>47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45</v>
      </c>
      <c r="Q2" s="1" t="s">
        <v>46</v>
      </c>
      <c r="R2" s="1" t="s">
        <v>47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45</v>
      </c>
      <c r="X2" s="1" t="s">
        <v>46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45</v>
      </c>
      <c r="AD2" s="1" t="s">
        <v>46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45</v>
      </c>
      <c r="AJ2" s="1" t="s">
        <v>46</v>
      </c>
      <c r="AK2" s="1" t="s">
        <v>49</v>
      </c>
      <c r="AL2" s="1" t="s">
        <v>50</v>
      </c>
      <c r="AM2" s="1" t="s">
        <v>51</v>
      </c>
      <c r="AN2" s="1" t="s">
        <v>52</v>
      </c>
    </row>
    <row r="3" spans="1:40">
      <c r="A3" s="1" t="s">
        <v>0</v>
      </c>
      <c r="B3" s="1">
        <v>6.41</v>
      </c>
      <c r="C3" s="1">
        <v>0.15</v>
      </c>
      <c r="D3" s="1" t="s">
        <v>48</v>
      </c>
      <c r="E3" s="1">
        <v>208694</v>
      </c>
      <c r="F3" s="1">
        <v>4.985</v>
      </c>
      <c r="G3" s="1">
        <v>0.15</v>
      </c>
      <c r="H3" s="1">
        <v>0</v>
      </c>
      <c r="I3" s="1">
        <v>2.78</v>
      </c>
      <c r="J3" s="1">
        <v>0.13</v>
      </c>
      <c r="K3" s="1" t="s">
        <v>48</v>
      </c>
      <c r="L3" s="1">
        <v>165013</v>
      </c>
      <c r="M3" s="1">
        <v>1.899</v>
      </c>
      <c r="N3" s="1">
        <v>0.13</v>
      </c>
      <c r="O3" s="1">
        <v>0</v>
      </c>
      <c r="P3" s="1">
        <v>3.26</v>
      </c>
      <c r="Q3" s="1">
        <v>0.24</v>
      </c>
      <c r="R3" s="1" t="s">
        <v>48</v>
      </c>
      <c r="S3" s="1">
        <v>165013</v>
      </c>
      <c r="T3" s="1">
        <v>2.295</v>
      </c>
      <c r="U3" s="1">
        <v>0.24</v>
      </c>
      <c r="V3" s="1"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>
        <v>291.41</v>
      </c>
      <c r="C4" s="1">
        <v>262.65</v>
      </c>
      <c r="D4" s="1" t="s">
        <v>48</v>
      </c>
      <c r="E4" s="1">
        <v>9451414</v>
      </c>
      <c r="F4" s="1">
        <v>290.33</v>
      </c>
      <c r="G4" s="1">
        <v>262.63</v>
      </c>
      <c r="H4" s="1">
        <v>0</v>
      </c>
      <c r="I4" s="1">
        <v>23.62</v>
      </c>
      <c r="J4" s="1">
        <v>6.61</v>
      </c>
      <c r="K4" s="1" t="s">
        <v>48</v>
      </c>
      <c r="L4" s="1">
        <v>165124</v>
      </c>
      <c r="M4" s="1">
        <v>12.275</v>
      </c>
      <c r="N4" s="1">
        <v>6.61</v>
      </c>
      <c r="O4" s="1">
        <v>0</v>
      </c>
      <c r="P4" s="1">
        <v>3.9</v>
      </c>
      <c r="Q4" s="1">
        <v>1.06</v>
      </c>
      <c r="R4" s="1" t="s">
        <v>48</v>
      </c>
      <c r="S4" s="1">
        <v>165124</v>
      </c>
      <c r="T4" s="1">
        <v>2.914</v>
      </c>
      <c r="U4" s="1">
        <v>1.05</v>
      </c>
      <c r="V4" s="1"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>
        <v>911.16</v>
      </c>
      <c r="C5" s="1">
        <v>757.6</v>
      </c>
      <c r="D5" s="1" t="s">
        <v>48</v>
      </c>
      <c r="E5" s="1">
        <v>21465964</v>
      </c>
      <c r="F5" s="1">
        <v>898.957</v>
      </c>
      <c r="G5" s="1">
        <v>757.52</v>
      </c>
      <c r="H5" s="1">
        <v>0</v>
      </c>
      <c r="I5" s="1">
        <v>3.55</v>
      </c>
      <c r="J5" s="1">
        <v>0.72</v>
      </c>
      <c r="K5" s="1" t="s">
        <v>48</v>
      </c>
      <c r="L5" s="1">
        <v>165124</v>
      </c>
      <c r="M5" s="1">
        <v>2.493</v>
      </c>
      <c r="N5" s="1">
        <v>0.72</v>
      </c>
      <c r="O5" s="1">
        <v>0</v>
      </c>
      <c r="P5" s="1">
        <v>4.03</v>
      </c>
      <c r="Q5" s="1">
        <v>1.45</v>
      </c>
      <c r="R5" s="1" t="s">
        <v>48</v>
      </c>
      <c r="S5" s="1">
        <v>165124</v>
      </c>
      <c r="T5" s="1">
        <v>3.117</v>
      </c>
      <c r="U5" s="1">
        <v>1.45</v>
      </c>
      <c r="V5" s="1"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>
        <v>1200</v>
      </c>
      <c r="C6" s="1">
        <v>2138.61</v>
      </c>
      <c r="D6" s="1" t="s">
        <v>48</v>
      </c>
      <c r="E6" s="1">
        <v>38396764</v>
      </c>
      <c r="F6" s="1">
        <v>2540.742</v>
      </c>
      <c r="G6" s="1">
        <v>2138.48</v>
      </c>
      <c r="H6" s="1">
        <v>0</v>
      </c>
      <c r="I6" s="1">
        <v>3.81</v>
      </c>
      <c r="J6" s="1">
        <v>1.03</v>
      </c>
      <c r="K6" s="1" t="s">
        <v>48</v>
      </c>
      <c r="L6" s="1">
        <v>165124</v>
      </c>
      <c r="M6" s="1">
        <v>2.766</v>
      </c>
      <c r="N6" s="1">
        <v>1.02</v>
      </c>
      <c r="O6" s="1">
        <v>0</v>
      </c>
      <c r="P6" s="1">
        <v>4.52</v>
      </c>
      <c r="Q6" s="1">
        <v>1.48</v>
      </c>
      <c r="R6" s="1" t="s">
        <v>48</v>
      </c>
      <c r="S6" s="1">
        <v>165124</v>
      </c>
      <c r="T6" s="1">
        <v>3.52</v>
      </c>
      <c r="U6" s="1">
        <v>1.47</v>
      </c>
      <c r="V6" s="1"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>
        <v>1200</v>
      </c>
      <c r="C7" s="1">
        <v>1342.86</v>
      </c>
      <c r="D7" s="1" t="s">
        <v>48</v>
      </c>
      <c r="E7" s="1">
        <v>60243814</v>
      </c>
      <c r="F7" s="1">
        <v>1745.027</v>
      </c>
      <c r="G7" s="1">
        <v>1342.67</v>
      </c>
      <c r="H7" s="1">
        <v>0</v>
      </c>
      <c r="I7" s="1">
        <v>1200</v>
      </c>
      <c r="J7" s="1"/>
      <c r="K7" s="1"/>
      <c r="L7" s="1"/>
      <c r="M7" s="1"/>
      <c r="N7" s="1"/>
      <c r="O7" s="1">
        <v>0</v>
      </c>
      <c r="P7" s="1">
        <v>4.51</v>
      </c>
      <c r="Q7" s="1">
        <v>1.47</v>
      </c>
      <c r="R7" s="1" t="s">
        <v>48</v>
      </c>
      <c r="S7" s="1">
        <v>165124</v>
      </c>
      <c r="T7" s="1">
        <v>3.481</v>
      </c>
      <c r="U7" s="1">
        <v>1.46</v>
      </c>
      <c r="V7" s="1"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>
        <v>1200</v>
      </c>
      <c r="C8" s="1"/>
      <c r="D8" s="1"/>
      <c r="E8" s="1"/>
      <c r="F8" s="1"/>
      <c r="G8" s="1"/>
      <c r="H8" s="1">
        <v>0</v>
      </c>
      <c r="I8" s="1">
        <v>3.7</v>
      </c>
      <c r="J8" s="1">
        <v>0.77</v>
      </c>
      <c r="K8" s="1" t="s">
        <v>48</v>
      </c>
      <c r="L8" s="1">
        <v>165124</v>
      </c>
      <c r="M8" s="1">
        <v>2.714</v>
      </c>
      <c r="N8" s="1">
        <v>0.77</v>
      </c>
      <c r="O8" s="1">
        <v>0</v>
      </c>
      <c r="P8" s="1">
        <v>4.28</v>
      </c>
      <c r="Q8" s="1">
        <v>1.41</v>
      </c>
      <c r="R8" s="1" t="s">
        <v>48</v>
      </c>
      <c r="S8" s="1">
        <v>165124</v>
      </c>
      <c r="T8" s="1">
        <v>3.344</v>
      </c>
      <c r="U8" s="1">
        <v>1.4</v>
      </c>
      <c r="V8" s="1"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>
        <v>1200</v>
      </c>
      <c r="C9" s="1"/>
      <c r="D9" s="1"/>
      <c r="E9" s="1"/>
      <c r="F9" s="1"/>
      <c r="G9" s="1"/>
      <c r="H9" s="1">
        <v>0</v>
      </c>
      <c r="I9" s="1">
        <v>9.92</v>
      </c>
      <c r="J9" s="1">
        <v>2.7</v>
      </c>
      <c r="K9" s="1" t="s">
        <v>48</v>
      </c>
      <c r="L9" s="1">
        <v>165124</v>
      </c>
      <c r="M9" s="1">
        <v>8.476000000000001</v>
      </c>
      <c r="N9" s="1">
        <v>2.69</v>
      </c>
      <c r="O9" s="1">
        <v>0</v>
      </c>
      <c r="P9" s="1">
        <v>4.14</v>
      </c>
      <c r="Q9" s="1">
        <v>1.33</v>
      </c>
      <c r="R9" s="1" t="s">
        <v>48</v>
      </c>
      <c r="S9" s="1">
        <v>165124</v>
      </c>
      <c r="T9" s="1">
        <v>3.142</v>
      </c>
      <c r="U9" s="1">
        <v>1.33</v>
      </c>
      <c r="V9" s="1"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>
        <v>1200</v>
      </c>
      <c r="C10" s="1"/>
      <c r="D10" s="1"/>
      <c r="E10" s="1"/>
      <c r="F10" s="1"/>
      <c r="G10" s="1"/>
      <c r="H10" s="1">
        <v>0</v>
      </c>
      <c r="I10" s="1">
        <v>4.17</v>
      </c>
      <c r="J10" s="1">
        <v>1.23</v>
      </c>
      <c r="K10" s="1" t="s">
        <v>48</v>
      </c>
      <c r="L10" s="1">
        <v>165124</v>
      </c>
      <c r="M10" s="1">
        <v>3.202</v>
      </c>
      <c r="N10" s="1">
        <v>1.22</v>
      </c>
      <c r="O10" s="1">
        <v>0</v>
      </c>
      <c r="P10" s="1">
        <v>4.26</v>
      </c>
      <c r="Q10" s="1">
        <v>1.44</v>
      </c>
      <c r="R10" s="1" t="s">
        <v>48</v>
      </c>
      <c r="S10" s="1">
        <v>165124</v>
      </c>
      <c r="T10" s="1">
        <v>3.305</v>
      </c>
      <c r="U10" s="1">
        <v>1.43</v>
      </c>
      <c r="V10" s="1"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>
        <v>104.19</v>
      </c>
      <c r="C11" s="1">
        <v>85.69</v>
      </c>
      <c r="D11" s="1" t="s">
        <v>48</v>
      </c>
      <c r="E11" s="1">
        <v>2353103</v>
      </c>
      <c r="F11" s="1">
        <v>102.649</v>
      </c>
      <c r="G11" s="1">
        <v>85.69</v>
      </c>
      <c r="H11" s="1">
        <v>0</v>
      </c>
      <c r="I11" s="1">
        <v>1200</v>
      </c>
      <c r="J11" s="1"/>
      <c r="K11" s="1"/>
      <c r="L11" s="1"/>
      <c r="M11" s="1"/>
      <c r="N11" s="1"/>
      <c r="O11" s="1">
        <v>0</v>
      </c>
      <c r="P11" s="1">
        <v>3.82</v>
      </c>
      <c r="Q11" s="1">
        <v>0.82</v>
      </c>
      <c r="R11" s="1" t="s">
        <v>48</v>
      </c>
      <c r="S11" s="1">
        <v>165124</v>
      </c>
      <c r="T11" s="1">
        <v>2.859</v>
      </c>
      <c r="U11" s="1">
        <v>0.8100000000000001</v>
      </c>
      <c r="V11" s="1"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>
        <v>10.03</v>
      </c>
      <c r="C12" s="1">
        <v>0.28</v>
      </c>
      <c r="D12" s="1" t="s">
        <v>48</v>
      </c>
      <c r="E12" s="1">
        <v>339317</v>
      </c>
      <c r="F12" s="1">
        <v>8.513</v>
      </c>
      <c r="G12" s="1">
        <v>0.28</v>
      </c>
      <c r="H12" s="1">
        <v>0</v>
      </c>
      <c r="I12" s="1">
        <v>5.87</v>
      </c>
      <c r="J12" s="1">
        <v>1.55</v>
      </c>
      <c r="K12" s="1" t="s">
        <v>48</v>
      </c>
      <c r="L12" s="1">
        <v>297926</v>
      </c>
      <c r="M12" s="1">
        <v>4.784</v>
      </c>
      <c r="N12" s="1">
        <v>1.54</v>
      </c>
      <c r="O12" s="1">
        <v>0</v>
      </c>
      <c r="P12" s="1">
        <v>6.52</v>
      </c>
      <c r="Q12" s="1">
        <v>1.91</v>
      </c>
      <c r="R12" s="1" t="s">
        <v>48</v>
      </c>
      <c r="S12" s="1">
        <v>297926</v>
      </c>
      <c r="T12" s="1">
        <v>5.492</v>
      </c>
      <c r="U12" s="1">
        <v>1.9</v>
      </c>
      <c r="V12" s="1"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 t="s">
        <v>10</v>
      </c>
      <c r="B13" s="1">
        <v>1200</v>
      </c>
      <c r="C13" s="1"/>
      <c r="D13" s="1"/>
      <c r="E13" s="1"/>
      <c r="F13" s="1"/>
      <c r="G13" s="1"/>
      <c r="H13" s="1">
        <v>0</v>
      </c>
      <c r="I13" s="1">
        <v>41.29</v>
      </c>
      <c r="J13" s="1">
        <v>36.94</v>
      </c>
      <c r="K13" s="1" t="s">
        <v>48</v>
      </c>
      <c r="L13" s="1">
        <v>298037</v>
      </c>
      <c r="M13" s="1">
        <v>40.203</v>
      </c>
      <c r="N13" s="1">
        <v>36.93</v>
      </c>
      <c r="O13" s="1">
        <v>0</v>
      </c>
      <c r="P13" s="1">
        <v>37.64</v>
      </c>
      <c r="Q13" s="1">
        <v>33.04</v>
      </c>
      <c r="R13" s="1" t="s">
        <v>48</v>
      </c>
      <c r="S13" s="1">
        <v>298037</v>
      </c>
      <c r="T13" s="1">
        <v>36.573</v>
      </c>
      <c r="U13" s="1">
        <v>33.03</v>
      </c>
      <c r="V13" s="1">
        <v>0</v>
      </c>
      <c r="W13" s="1">
        <f>MIN($B13,$I13,$P13)</f>
        <v>0</v>
      </c>
      <c r="X13" s="1">
        <f>MIN($C13,$J13,$Q13)</f>
        <v>0</v>
      </c>
      <c r="Y13" s="1">
        <f>MIN($E13,$L13,$S13)</f>
        <v>0</v>
      </c>
      <c r="Z13" s="1">
        <f>MIN($F13,$M13,$T13)</f>
        <v>0</v>
      </c>
      <c r="AA13" s="1">
        <f>MIN($G13,$N13,$U13)</f>
        <v>0</v>
      </c>
      <c r="AB13" s="1">
        <f>MIN($H13,$O13,$V13)</f>
        <v>0</v>
      </c>
      <c r="AC13" s="1">
        <f>MEDIAN($B13,$I13,$P13)</f>
        <v>0</v>
      </c>
      <c r="AD13" s="1">
        <f>MEDIAN($C13,$J13,$Q13)</f>
        <v>0</v>
      </c>
      <c r="AE13" s="1">
        <f>MEDIAN($E13,$L13,$S13)</f>
        <v>0</v>
      </c>
      <c r="AF13" s="1">
        <f>MEDIAN($F13,$M13,$T13)</f>
        <v>0</v>
      </c>
      <c r="AG13" s="1">
        <f>MEDIAN($G13,$N13,$U13)</f>
        <v>0</v>
      </c>
      <c r="AH13" s="1">
        <f>MEDIAN($H13,$O13,$V13)</f>
        <v>0</v>
      </c>
      <c r="AI13" s="1">
        <f>MAX($B13,$I13,$P13)</f>
        <v>0</v>
      </c>
      <c r="AJ13" s="1">
        <f>MAX($C13,$J13,$Q13)</f>
        <v>0</v>
      </c>
      <c r="AK13" s="1">
        <f>MAX($E13,$L13,$S13)</f>
        <v>0</v>
      </c>
      <c r="AL13" s="1">
        <f>MAX($F13,$M13,$T13)</f>
        <v>0</v>
      </c>
      <c r="AM13" s="1">
        <f>MAX($G13,$N13,$U13)</f>
        <v>0</v>
      </c>
      <c r="AN13" s="1">
        <f>MAX($H13,$O13,$V13)</f>
        <v>0</v>
      </c>
    </row>
    <row r="14" spans="1:40">
      <c r="A14" s="1" t="s">
        <v>11</v>
      </c>
      <c r="B14" s="1">
        <v>1200</v>
      </c>
      <c r="C14" s="1"/>
      <c r="D14" s="1"/>
      <c r="E14" s="1"/>
      <c r="F14" s="1"/>
      <c r="G14" s="1"/>
      <c r="H14" s="1">
        <v>0</v>
      </c>
      <c r="I14" s="1">
        <v>316.82</v>
      </c>
      <c r="J14" s="1">
        <v>305.23</v>
      </c>
      <c r="K14" s="1" t="s">
        <v>48</v>
      </c>
      <c r="L14" s="1">
        <v>298037</v>
      </c>
      <c r="M14" s="1">
        <v>314.838</v>
      </c>
      <c r="N14" s="1">
        <v>305.15</v>
      </c>
      <c r="O14" s="1">
        <v>0</v>
      </c>
      <c r="P14" s="1">
        <v>35.86</v>
      </c>
      <c r="Q14" s="1">
        <v>31.44</v>
      </c>
      <c r="R14" s="1" t="s">
        <v>48</v>
      </c>
      <c r="S14" s="1">
        <v>298037</v>
      </c>
      <c r="T14" s="1">
        <v>34.835</v>
      </c>
      <c r="U14" s="1">
        <v>31.44</v>
      </c>
      <c r="V14" s="1">
        <v>0</v>
      </c>
      <c r="W14" s="1">
        <f>MIN($B14,$I14,$P14)</f>
        <v>0</v>
      </c>
      <c r="X14" s="1">
        <f>MIN($C14,$J14,$Q14)</f>
        <v>0</v>
      </c>
      <c r="Y14" s="1">
        <f>MIN($E14,$L14,$S14)</f>
        <v>0</v>
      </c>
      <c r="Z14" s="1">
        <f>MIN($F14,$M14,$T14)</f>
        <v>0</v>
      </c>
      <c r="AA14" s="1">
        <f>MIN($G14,$N14,$U14)</f>
        <v>0</v>
      </c>
      <c r="AB14" s="1">
        <f>MIN($H14,$O14,$V14)</f>
        <v>0</v>
      </c>
      <c r="AC14" s="1">
        <f>MEDIAN($B14,$I14,$P14)</f>
        <v>0</v>
      </c>
      <c r="AD14" s="1">
        <f>MEDIAN($C14,$J14,$Q14)</f>
        <v>0</v>
      </c>
      <c r="AE14" s="1">
        <f>MEDIAN($E14,$L14,$S14)</f>
        <v>0</v>
      </c>
      <c r="AF14" s="1">
        <f>MEDIAN($F14,$M14,$T14)</f>
        <v>0</v>
      </c>
      <c r="AG14" s="1">
        <f>MEDIAN($G14,$N14,$U14)</f>
        <v>0</v>
      </c>
      <c r="AH14" s="1">
        <f>MEDIAN($H14,$O14,$V14)</f>
        <v>0</v>
      </c>
      <c r="AI14" s="1">
        <f>MAX($B14,$I14,$P14)</f>
        <v>0</v>
      </c>
      <c r="AJ14" s="1">
        <f>MAX($C14,$J14,$Q14)</f>
        <v>0</v>
      </c>
      <c r="AK14" s="1">
        <f>MAX($E14,$L14,$S14)</f>
        <v>0</v>
      </c>
      <c r="AL14" s="1">
        <f>MAX($F14,$M14,$T14)</f>
        <v>0</v>
      </c>
      <c r="AM14" s="1">
        <f>MAX($G14,$N14,$U14)</f>
        <v>0</v>
      </c>
      <c r="AN14" s="1">
        <f>MAX($H14,$O14,$V14)</f>
        <v>0</v>
      </c>
    </row>
    <row r="15" spans="1:40">
      <c r="A15" s="1" t="s">
        <v>12</v>
      </c>
      <c r="B15" s="1">
        <v>1200</v>
      </c>
      <c r="C15" s="1"/>
      <c r="D15" s="1"/>
      <c r="E15" s="1"/>
      <c r="F15" s="1"/>
      <c r="G15" s="1"/>
      <c r="H15" s="1">
        <v>0</v>
      </c>
      <c r="I15" s="1">
        <v>1200</v>
      </c>
      <c r="J15" s="1"/>
      <c r="K15" s="1"/>
      <c r="L15" s="1"/>
      <c r="M15" s="1"/>
      <c r="N15" s="1"/>
      <c r="O15" s="1">
        <v>0</v>
      </c>
      <c r="P15" s="1">
        <v>38.42</v>
      </c>
      <c r="Q15" s="1">
        <v>33.82</v>
      </c>
      <c r="R15" s="1" t="s">
        <v>48</v>
      </c>
      <c r="S15" s="1">
        <v>298037</v>
      </c>
      <c r="T15" s="1">
        <v>37.379</v>
      </c>
      <c r="U15" s="1">
        <v>33.82</v>
      </c>
      <c r="V15" s="1">
        <v>0</v>
      </c>
      <c r="W15" s="1">
        <f>MIN($B15,$I15,$P15)</f>
        <v>0</v>
      </c>
      <c r="X15" s="1">
        <f>MIN($C15,$J15,$Q15)</f>
        <v>0</v>
      </c>
      <c r="Y15" s="1">
        <f>MIN($E15,$L15,$S15)</f>
        <v>0</v>
      </c>
      <c r="Z15" s="1">
        <f>MIN($F15,$M15,$T15)</f>
        <v>0</v>
      </c>
      <c r="AA15" s="1">
        <f>MIN($G15,$N15,$U15)</f>
        <v>0</v>
      </c>
      <c r="AB15" s="1">
        <f>MIN($H15,$O15,$V15)</f>
        <v>0</v>
      </c>
      <c r="AC15" s="1">
        <f>MEDIAN($B15,$I15,$P15)</f>
        <v>0</v>
      </c>
      <c r="AD15" s="1">
        <f>MEDIAN($C15,$J15,$Q15)</f>
        <v>0</v>
      </c>
      <c r="AE15" s="1">
        <f>MEDIAN($E15,$L15,$S15)</f>
        <v>0</v>
      </c>
      <c r="AF15" s="1">
        <f>MEDIAN($F15,$M15,$T15)</f>
        <v>0</v>
      </c>
      <c r="AG15" s="1">
        <f>MEDIAN($G15,$N15,$U15)</f>
        <v>0</v>
      </c>
      <c r="AH15" s="1">
        <f>MEDIAN($H15,$O15,$V15)</f>
        <v>0</v>
      </c>
      <c r="AI15" s="1">
        <f>MAX($B15,$I15,$P15)</f>
        <v>0</v>
      </c>
      <c r="AJ15" s="1">
        <f>MAX($C15,$J15,$Q15)</f>
        <v>0</v>
      </c>
      <c r="AK15" s="1">
        <f>MAX($E15,$L15,$S15)</f>
        <v>0</v>
      </c>
      <c r="AL15" s="1">
        <f>MAX($F15,$M15,$T15)</f>
        <v>0</v>
      </c>
      <c r="AM15" s="1">
        <f>MAX($G15,$N15,$U15)</f>
        <v>0</v>
      </c>
      <c r="AN15" s="1">
        <f>MAX($H15,$O15,$V15)</f>
        <v>0</v>
      </c>
    </row>
    <row r="16" spans="1:40">
      <c r="A16" s="1" t="s">
        <v>13</v>
      </c>
      <c r="B16" s="1">
        <v>1200</v>
      </c>
      <c r="C16" s="1"/>
      <c r="D16" s="1"/>
      <c r="E16" s="1"/>
      <c r="F16" s="1"/>
      <c r="G16" s="1"/>
      <c r="H16" s="1">
        <v>0</v>
      </c>
      <c r="I16" s="1">
        <v>456.66</v>
      </c>
      <c r="J16" s="1">
        <v>441.91</v>
      </c>
      <c r="K16" s="1" t="s">
        <v>48</v>
      </c>
      <c r="L16" s="1">
        <v>298037</v>
      </c>
      <c r="M16" s="1">
        <v>454.703</v>
      </c>
      <c r="N16" s="1">
        <v>441.9</v>
      </c>
      <c r="O16" s="1">
        <v>0</v>
      </c>
      <c r="P16" s="1">
        <v>32.31</v>
      </c>
      <c r="Q16" s="1">
        <v>27.97</v>
      </c>
      <c r="R16" s="1" t="s">
        <v>48</v>
      </c>
      <c r="S16" s="1">
        <v>298037</v>
      </c>
      <c r="T16" s="1">
        <v>31.301</v>
      </c>
      <c r="U16" s="1">
        <v>27.96</v>
      </c>
      <c r="V16" s="1">
        <v>0</v>
      </c>
      <c r="W16" s="1">
        <f>MIN($B16,$I16,$P16)</f>
        <v>0</v>
      </c>
      <c r="X16" s="1">
        <f>MIN($C16,$J16,$Q16)</f>
        <v>0</v>
      </c>
      <c r="Y16" s="1">
        <f>MIN($E16,$L16,$S16)</f>
        <v>0</v>
      </c>
      <c r="Z16" s="1">
        <f>MIN($F16,$M16,$T16)</f>
        <v>0</v>
      </c>
      <c r="AA16" s="1">
        <f>MIN($G16,$N16,$U16)</f>
        <v>0</v>
      </c>
      <c r="AB16" s="1">
        <f>MIN($H16,$O16,$V16)</f>
        <v>0</v>
      </c>
      <c r="AC16" s="1">
        <f>MEDIAN($B16,$I16,$P16)</f>
        <v>0</v>
      </c>
      <c r="AD16" s="1">
        <f>MEDIAN($C16,$J16,$Q16)</f>
        <v>0</v>
      </c>
      <c r="AE16" s="1">
        <f>MEDIAN($E16,$L16,$S16)</f>
        <v>0</v>
      </c>
      <c r="AF16" s="1">
        <f>MEDIAN($F16,$M16,$T16)</f>
        <v>0</v>
      </c>
      <c r="AG16" s="1">
        <f>MEDIAN($G16,$N16,$U16)</f>
        <v>0</v>
      </c>
      <c r="AH16" s="1">
        <f>MEDIAN($H16,$O16,$V16)</f>
        <v>0</v>
      </c>
      <c r="AI16" s="1">
        <f>MAX($B16,$I16,$P16)</f>
        <v>0</v>
      </c>
      <c r="AJ16" s="1">
        <f>MAX($C16,$J16,$Q16)</f>
        <v>0</v>
      </c>
      <c r="AK16" s="1">
        <f>MAX($E16,$L16,$S16)</f>
        <v>0</v>
      </c>
      <c r="AL16" s="1">
        <f>MAX($F16,$M16,$T16)</f>
        <v>0</v>
      </c>
      <c r="AM16" s="1">
        <f>MAX($G16,$N16,$U16)</f>
        <v>0</v>
      </c>
      <c r="AN16" s="1">
        <f>MAX($H16,$O16,$V16)</f>
        <v>0</v>
      </c>
    </row>
    <row r="17" spans="1:40">
      <c r="A17" s="1" t="s">
        <v>14</v>
      </c>
      <c r="B17" s="1">
        <v>1200</v>
      </c>
      <c r="C17" s="1"/>
      <c r="D17" s="1"/>
      <c r="E17" s="1"/>
      <c r="F17" s="1"/>
      <c r="G17" s="1"/>
      <c r="H17" s="1">
        <v>0</v>
      </c>
      <c r="I17" s="1">
        <v>70.87</v>
      </c>
      <c r="J17" s="1">
        <v>66.83</v>
      </c>
      <c r="K17" s="1" t="s">
        <v>48</v>
      </c>
      <c r="L17" s="1">
        <v>298037</v>
      </c>
      <c r="M17" s="1">
        <v>69.98099999999999</v>
      </c>
      <c r="N17" s="1">
        <v>66.81999999999999</v>
      </c>
      <c r="O17" s="1">
        <v>0</v>
      </c>
      <c r="P17" s="1">
        <v>38.4</v>
      </c>
      <c r="Q17" s="1">
        <v>33.76</v>
      </c>
      <c r="R17" s="1" t="s">
        <v>48</v>
      </c>
      <c r="S17" s="1">
        <v>298037</v>
      </c>
      <c r="T17" s="1">
        <v>37.339</v>
      </c>
      <c r="U17" s="1">
        <v>33.75</v>
      </c>
      <c r="V17" s="1">
        <v>0</v>
      </c>
      <c r="W17" s="1">
        <f>MIN($B17,$I17,$P17)</f>
        <v>0</v>
      </c>
      <c r="X17" s="1">
        <f>MIN($C17,$J17,$Q17)</f>
        <v>0</v>
      </c>
      <c r="Y17" s="1">
        <f>MIN($E17,$L17,$S17)</f>
        <v>0</v>
      </c>
      <c r="Z17" s="1">
        <f>MIN($F17,$M17,$T17)</f>
        <v>0</v>
      </c>
      <c r="AA17" s="1">
        <f>MIN($G17,$N17,$U17)</f>
        <v>0</v>
      </c>
      <c r="AB17" s="1">
        <f>MIN($H17,$O17,$V17)</f>
        <v>0</v>
      </c>
      <c r="AC17" s="1">
        <f>MEDIAN($B17,$I17,$P17)</f>
        <v>0</v>
      </c>
      <c r="AD17" s="1">
        <f>MEDIAN($C17,$J17,$Q17)</f>
        <v>0</v>
      </c>
      <c r="AE17" s="1">
        <f>MEDIAN($E17,$L17,$S17)</f>
        <v>0</v>
      </c>
      <c r="AF17" s="1">
        <f>MEDIAN($F17,$M17,$T17)</f>
        <v>0</v>
      </c>
      <c r="AG17" s="1">
        <f>MEDIAN($G17,$N17,$U17)</f>
        <v>0</v>
      </c>
      <c r="AH17" s="1">
        <f>MEDIAN($H17,$O17,$V17)</f>
        <v>0</v>
      </c>
      <c r="AI17" s="1">
        <f>MAX($B17,$I17,$P17)</f>
        <v>0</v>
      </c>
      <c r="AJ17" s="1">
        <f>MAX($C17,$J17,$Q17)</f>
        <v>0</v>
      </c>
      <c r="AK17" s="1">
        <f>MAX($E17,$L17,$S17)</f>
        <v>0</v>
      </c>
      <c r="AL17" s="1">
        <f>MAX($F17,$M17,$T17)</f>
        <v>0</v>
      </c>
      <c r="AM17" s="1">
        <f>MAX($G17,$N17,$U17)</f>
        <v>0</v>
      </c>
      <c r="AN17" s="1">
        <f>MAX($H17,$O17,$V17)</f>
        <v>0</v>
      </c>
    </row>
    <row r="18" spans="1:40">
      <c r="A18" s="1" t="s">
        <v>15</v>
      </c>
      <c r="B18" s="1">
        <v>1200</v>
      </c>
      <c r="C18" s="1"/>
      <c r="D18" s="1"/>
      <c r="E18" s="1"/>
      <c r="F18" s="1"/>
      <c r="G18" s="1"/>
      <c r="H18" s="1">
        <v>0</v>
      </c>
      <c r="I18" s="1">
        <v>1200</v>
      </c>
      <c r="J18" s="1"/>
      <c r="K18" s="1"/>
      <c r="L18" s="1"/>
      <c r="M18" s="1"/>
      <c r="N18" s="1"/>
      <c r="O18" s="1">
        <v>0</v>
      </c>
      <c r="P18" s="1">
        <v>39.32</v>
      </c>
      <c r="Q18" s="1">
        <v>34.55</v>
      </c>
      <c r="R18" s="1" t="s">
        <v>48</v>
      </c>
      <c r="S18" s="1">
        <v>298037</v>
      </c>
      <c r="T18" s="1">
        <v>38.287</v>
      </c>
      <c r="U18" s="1">
        <v>34.55</v>
      </c>
      <c r="V18" s="1">
        <v>0</v>
      </c>
      <c r="W18" s="1">
        <f>MIN($B18,$I18,$P18)</f>
        <v>0</v>
      </c>
      <c r="X18" s="1">
        <f>MIN($C18,$J18,$Q18)</f>
        <v>0</v>
      </c>
      <c r="Y18" s="1">
        <f>MIN($E18,$L18,$S18)</f>
        <v>0</v>
      </c>
      <c r="Z18" s="1">
        <f>MIN($F18,$M18,$T18)</f>
        <v>0</v>
      </c>
      <c r="AA18" s="1">
        <f>MIN($G18,$N18,$U18)</f>
        <v>0</v>
      </c>
      <c r="AB18" s="1">
        <f>MIN($H18,$O18,$V18)</f>
        <v>0</v>
      </c>
      <c r="AC18" s="1">
        <f>MEDIAN($B18,$I18,$P18)</f>
        <v>0</v>
      </c>
      <c r="AD18" s="1">
        <f>MEDIAN($C18,$J18,$Q18)</f>
        <v>0</v>
      </c>
      <c r="AE18" s="1">
        <f>MEDIAN($E18,$L18,$S18)</f>
        <v>0</v>
      </c>
      <c r="AF18" s="1">
        <f>MEDIAN($F18,$M18,$T18)</f>
        <v>0</v>
      </c>
      <c r="AG18" s="1">
        <f>MEDIAN($G18,$N18,$U18)</f>
        <v>0</v>
      </c>
      <c r="AH18" s="1">
        <f>MEDIAN($H18,$O18,$V18)</f>
        <v>0</v>
      </c>
      <c r="AI18" s="1">
        <f>MAX($B18,$I18,$P18)</f>
        <v>0</v>
      </c>
      <c r="AJ18" s="1">
        <f>MAX($C18,$J18,$Q18)</f>
        <v>0</v>
      </c>
      <c r="AK18" s="1">
        <f>MAX($E18,$L18,$S18)</f>
        <v>0</v>
      </c>
      <c r="AL18" s="1">
        <f>MAX($F18,$M18,$T18)</f>
        <v>0</v>
      </c>
      <c r="AM18" s="1">
        <f>MAX($G18,$N18,$U18)</f>
        <v>0</v>
      </c>
      <c r="AN18" s="1">
        <f>MAX($H18,$O18,$V18)</f>
        <v>0</v>
      </c>
    </row>
    <row r="19" spans="1:40">
      <c r="A19" s="1" t="s">
        <v>16</v>
      </c>
      <c r="B19" s="1">
        <v>1200</v>
      </c>
      <c r="C19" s="1"/>
      <c r="D19" s="1"/>
      <c r="E19" s="1"/>
      <c r="F19" s="1"/>
      <c r="G19" s="1"/>
      <c r="H19" s="1">
        <v>0</v>
      </c>
      <c r="I19" s="1">
        <v>1200</v>
      </c>
      <c r="J19" s="1"/>
      <c r="K19" s="1"/>
      <c r="L19" s="1"/>
      <c r="M19" s="1"/>
      <c r="N19" s="1"/>
      <c r="O19" s="1">
        <v>0</v>
      </c>
      <c r="P19" s="1">
        <v>39.51</v>
      </c>
      <c r="Q19" s="1">
        <v>34.73</v>
      </c>
      <c r="R19" s="1" t="s">
        <v>48</v>
      </c>
      <c r="S19" s="1">
        <v>298037</v>
      </c>
      <c r="T19" s="1">
        <v>38.424</v>
      </c>
      <c r="U19" s="1">
        <v>34.72</v>
      </c>
      <c r="V19" s="1">
        <v>0</v>
      </c>
      <c r="W19" s="1">
        <f>MIN($B19,$I19,$P19)</f>
        <v>0</v>
      </c>
      <c r="X19" s="1">
        <f>MIN($C19,$J19,$Q19)</f>
        <v>0</v>
      </c>
      <c r="Y19" s="1">
        <f>MIN($E19,$L19,$S19)</f>
        <v>0</v>
      </c>
      <c r="Z19" s="1">
        <f>MIN($F19,$M19,$T19)</f>
        <v>0</v>
      </c>
      <c r="AA19" s="1">
        <f>MIN($G19,$N19,$U19)</f>
        <v>0</v>
      </c>
      <c r="AB19" s="1">
        <f>MIN($H19,$O19,$V19)</f>
        <v>0</v>
      </c>
      <c r="AC19" s="1">
        <f>MEDIAN($B19,$I19,$P19)</f>
        <v>0</v>
      </c>
      <c r="AD19" s="1">
        <f>MEDIAN($C19,$J19,$Q19)</f>
        <v>0</v>
      </c>
      <c r="AE19" s="1">
        <f>MEDIAN($E19,$L19,$S19)</f>
        <v>0</v>
      </c>
      <c r="AF19" s="1">
        <f>MEDIAN($F19,$M19,$T19)</f>
        <v>0</v>
      </c>
      <c r="AG19" s="1">
        <f>MEDIAN($G19,$N19,$U19)</f>
        <v>0</v>
      </c>
      <c r="AH19" s="1">
        <f>MEDIAN($H19,$O19,$V19)</f>
        <v>0</v>
      </c>
      <c r="AI19" s="1">
        <f>MAX($B19,$I19,$P19)</f>
        <v>0</v>
      </c>
      <c r="AJ19" s="1">
        <f>MAX($C19,$J19,$Q19)</f>
        <v>0</v>
      </c>
      <c r="AK19" s="1">
        <f>MAX($E19,$L19,$S19)</f>
        <v>0</v>
      </c>
      <c r="AL19" s="1">
        <f>MAX($F19,$M19,$T19)</f>
        <v>0</v>
      </c>
      <c r="AM19" s="1">
        <f>MAX($G19,$N19,$U19)</f>
        <v>0</v>
      </c>
      <c r="AN19" s="1">
        <f>MAX($H19,$O19,$V19)</f>
        <v>0</v>
      </c>
    </row>
    <row r="20" spans="1:40">
      <c r="A20" s="1" t="s">
        <v>17</v>
      </c>
      <c r="B20" s="1">
        <v>1200</v>
      </c>
      <c r="C20" s="1">
        <v>4911.8</v>
      </c>
      <c r="D20" s="1" t="s">
        <v>48</v>
      </c>
      <c r="E20" s="1">
        <v>2483726</v>
      </c>
      <c r="F20" s="1">
        <v>4926.943</v>
      </c>
      <c r="G20" s="1">
        <v>4911.78</v>
      </c>
      <c r="H20" s="1">
        <v>0</v>
      </c>
      <c r="I20" s="1">
        <v>1200</v>
      </c>
      <c r="J20" s="1"/>
      <c r="K20" s="1"/>
      <c r="L20" s="1"/>
      <c r="M20" s="1"/>
      <c r="N20" s="1"/>
      <c r="O20" s="1">
        <v>0</v>
      </c>
      <c r="P20" s="1">
        <v>46.09</v>
      </c>
      <c r="Q20" s="1">
        <v>41.25</v>
      </c>
      <c r="R20" s="1" t="s">
        <v>48</v>
      </c>
      <c r="S20" s="1">
        <v>298037</v>
      </c>
      <c r="T20" s="1">
        <v>45.053</v>
      </c>
      <c r="U20" s="1">
        <v>41.25</v>
      </c>
      <c r="V20" s="1">
        <v>0</v>
      </c>
      <c r="W20" s="1">
        <f>MIN($B20,$I20,$P20)</f>
        <v>0</v>
      </c>
      <c r="X20" s="1">
        <f>MIN($C20,$J20,$Q20)</f>
        <v>0</v>
      </c>
      <c r="Y20" s="1">
        <f>MIN($E20,$L20,$S20)</f>
        <v>0</v>
      </c>
      <c r="Z20" s="1">
        <f>MIN($F20,$M20,$T20)</f>
        <v>0</v>
      </c>
      <c r="AA20" s="1">
        <f>MIN($G20,$N20,$U20)</f>
        <v>0</v>
      </c>
      <c r="AB20" s="1">
        <f>MIN($H20,$O20,$V20)</f>
        <v>0</v>
      </c>
      <c r="AC20" s="1">
        <f>MEDIAN($B20,$I20,$P20)</f>
        <v>0</v>
      </c>
      <c r="AD20" s="1">
        <f>MEDIAN($C20,$J20,$Q20)</f>
        <v>0</v>
      </c>
      <c r="AE20" s="1">
        <f>MEDIAN($E20,$L20,$S20)</f>
        <v>0</v>
      </c>
      <c r="AF20" s="1">
        <f>MEDIAN($F20,$M20,$T20)</f>
        <v>0</v>
      </c>
      <c r="AG20" s="1">
        <f>MEDIAN($G20,$N20,$U20)</f>
        <v>0</v>
      </c>
      <c r="AH20" s="1">
        <f>MEDIAN($H20,$O20,$V20)</f>
        <v>0</v>
      </c>
      <c r="AI20" s="1">
        <f>MAX($B20,$I20,$P20)</f>
        <v>0</v>
      </c>
      <c r="AJ20" s="1">
        <f>MAX($C20,$J20,$Q20)</f>
        <v>0</v>
      </c>
      <c r="AK20" s="1">
        <f>MAX($E20,$L20,$S20)</f>
        <v>0</v>
      </c>
      <c r="AL20" s="1">
        <f>MAX($F20,$M20,$T20)</f>
        <v>0</v>
      </c>
      <c r="AM20" s="1">
        <f>MAX($G20,$N20,$U20)</f>
        <v>0</v>
      </c>
      <c r="AN20" s="1">
        <f>MAX($H20,$O20,$V20)</f>
        <v>0</v>
      </c>
    </row>
    <row r="21" spans="1:40">
      <c r="A21" s="1" t="s">
        <v>18</v>
      </c>
      <c r="B21" s="1">
        <v>9.16</v>
      </c>
      <c r="C21" s="1">
        <v>1.92</v>
      </c>
      <c r="D21" s="1" t="s">
        <v>48</v>
      </c>
      <c r="E21" s="1">
        <v>471561</v>
      </c>
      <c r="F21" s="1">
        <v>8.111000000000001</v>
      </c>
      <c r="G21" s="1">
        <v>1.92</v>
      </c>
      <c r="H21" s="1">
        <v>0</v>
      </c>
      <c r="I21" s="1">
        <v>23.05</v>
      </c>
      <c r="J21" s="1">
        <v>1.57</v>
      </c>
      <c r="K21" s="1" t="s">
        <v>48</v>
      </c>
      <c r="L21" s="1">
        <v>432460</v>
      </c>
      <c r="M21" s="1">
        <v>16.362</v>
      </c>
      <c r="N21" s="1">
        <v>1.56</v>
      </c>
      <c r="O21" s="1">
        <v>0</v>
      </c>
      <c r="P21" s="1">
        <v>7.06</v>
      </c>
      <c r="Q21" s="1">
        <v>1.17</v>
      </c>
      <c r="R21" s="1" t="s">
        <v>48</v>
      </c>
      <c r="S21" s="1">
        <v>432460</v>
      </c>
      <c r="T21" s="1">
        <v>5.918</v>
      </c>
      <c r="U21" s="1">
        <v>1.16</v>
      </c>
      <c r="V21" s="1">
        <v>0</v>
      </c>
      <c r="W21" s="1">
        <f>MIN($B21,$I21,$P21)</f>
        <v>0</v>
      </c>
      <c r="X21" s="1">
        <f>MIN($C21,$J21,$Q21)</f>
        <v>0</v>
      </c>
      <c r="Y21" s="1">
        <f>MIN($E21,$L21,$S21)</f>
        <v>0</v>
      </c>
      <c r="Z21" s="1">
        <f>MIN($F21,$M21,$T21)</f>
        <v>0</v>
      </c>
      <c r="AA21" s="1">
        <f>MIN($G21,$N21,$U21)</f>
        <v>0</v>
      </c>
      <c r="AB21" s="1">
        <f>MIN($H21,$O21,$V21)</f>
        <v>0</v>
      </c>
      <c r="AC21" s="1">
        <f>MEDIAN($B21,$I21,$P21)</f>
        <v>0</v>
      </c>
      <c r="AD21" s="1">
        <f>MEDIAN($C21,$J21,$Q21)</f>
        <v>0</v>
      </c>
      <c r="AE21" s="1">
        <f>MEDIAN($E21,$L21,$S21)</f>
        <v>0</v>
      </c>
      <c r="AF21" s="1">
        <f>MEDIAN($F21,$M21,$T21)</f>
        <v>0</v>
      </c>
      <c r="AG21" s="1">
        <f>MEDIAN($G21,$N21,$U21)</f>
        <v>0</v>
      </c>
      <c r="AH21" s="1">
        <f>MEDIAN($H21,$O21,$V21)</f>
        <v>0</v>
      </c>
      <c r="AI21" s="1">
        <f>MAX($B21,$I21,$P21)</f>
        <v>0</v>
      </c>
      <c r="AJ21" s="1">
        <f>MAX($C21,$J21,$Q21)</f>
        <v>0</v>
      </c>
      <c r="AK21" s="1">
        <f>MAX($E21,$L21,$S21)</f>
        <v>0</v>
      </c>
      <c r="AL21" s="1">
        <f>MAX($F21,$M21,$T21)</f>
        <v>0</v>
      </c>
      <c r="AM21" s="1">
        <f>MAX($G21,$N21,$U21)</f>
        <v>0</v>
      </c>
      <c r="AN21" s="1">
        <f>MAX($H21,$O21,$V21)</f>
        <v>0</v>
      </c>
    </row>
    <row r="22" spans="1:40">
      <c r="A22" s="1" t="s">
        <v>19</v>
      </c>
      <c r="B22" s="1">
        <v>1200</v>
      </c>
      <c r="C22" s="1"/>
      <c r="D22" s="1"/>
      <c r="E22" s="1"/>
      <c r="F22" s="1"/>
      <c r="G22" s="1"/>
      <c r="H22" s="1">
        <v>0</v>
      </c>
      <c r="I22" s="1">
        <v>255.45</v>
      </c>
      <c r="J22" s="1">
        <v>249.75</v>
      </c>
      <c r="K22" s="1" t="s">
        <v>48</v>
      </c>
      <c r="L22" s="1">
        <v>432571</v>
      </c>
      <c r="M22" s="1">
        <v>254.422</v>
      </c>
      <c r="N22" s="1">
        <v>249.74</v>
      </c>
      <c r="O22" s="1">
        <v>0</v>
      </c>
      <c r="P22" s="1">
        <v>42.63</v>
      </c>
      <c r="Q22" s="1">
        <v>36.22</v>
      </c>
      <c r="R22" s="1" t="s">
        <v>48</v>
      </c>
      <c r="S22" s="1">
        <v>432571</v>
      </c>
      <c r="T22" s="1">
        <v>41.498</v>
      </c>
      <c r="U22" s="1">
        <v>36.22</v>
      </c>
      <c r="V22" s="1">
        <v>0</v>
      </c>
      <c r="W22" s="1">
        <f>MIN($B22,$I22,$P22)</f>
        <v>0</v>
      </c>
      <c r="X22" s="1">
        <f>MIN($C22,$J22,$Q22)</f>
        <v>0</v>
      </c>
      <c r="Y22" s="1">
        <f>MIN($E22,$L22,$S22)</f>
        <v>0</v>
      </c>
      <c r="Z22" s="1">
        <f>MIN($F22,$M22,$T22)</f>
        <v>0</v>
      </c>
      <c r="AA22" s="1">
        <f>MIN($G22,$N22,$U22)</f>
        <v>0</v>
      </c>
      <c r="AB22" s="1">
        <f>MIN($H22,$O22,$V22)</f>
        <v>0</v>
      </c>
      <c r="AC22" s="1">
        <f>MEDIAN($B22,$I22,$P22)</f>
        <v>0</v>
      </c>
      <c r="AD22" s="1">
        <f>MEDIAN($C22,$J22,$Q22)</f>
        <v>0</v>
      </c>
      <c r="AE22" s="1">
        <f>MEDIAN($E22,$L22,$S22)</f>
        <v>0</v>
      </c>
      <c r="AF22" s="1">
        <f>MEDIAN($F22,$M22,$T22)</f>
        <v>0</v>
      </c>
      <c r="AG22" s="1">
        <f>MEDIAN($G22,$N22,$U22)</f>
        <v>0</v>
      </c>
      <c r="AH22" s="1">
        <f>MEDIAN($H22,$O22,$V22)</f>
        <v>0</v>
      </c>
      <c r="AI22" s="1">
        <f>MAX($B22,$I22,$P22)</f>
        <v>0</v>
      </c>
      <c r="AJ22" s="1">
        <f>MAX($C22,$J22,$Q22)</f>
        <v>0</v>
      </c>
      <c r="AK22" s="1">
        <f>MAX($E22,$L22,$S22)</f>
        <v>0</v>
      </c>
      <c r="AL22" s="1">
        <f>MAX($F22,$M22,$T22)</f>
        <v>0</v>
      </c>
      <c r="AM22" s="1">
        <f>MAX($G22,$N22,$U22)</f>
        <v>0</v>
      </c>
      <c r="AN22" s="1">
        <f>MAX($H22,$O22,$V22)</f>
        <v>0</v>
      </c>
    </row>
    <row r="23" spans="1:40">
      <c r="A23" s="1" t="s">
        <v>20</v>
      </c>
      <c r="B23" s="1">
        <v>1200</v>
      </c>
      <c r="C23" s="1"/>
      <c r="D23" s="1"/>
      <c r="E23" s="1"/>
      <c r="F23" s="1"/>
      <c r="G23" s="1"/>
      <c r="H23" s="1">
        <v>0</v>
      </c>
      <c r="I23" s="1">
        <v>117.96</v>
      </c>
      <c r="J23" s="1">
        <v>112.21</v>
      </c>
      <c r="K23" s="1" t="s">
        <v>48</v>
      </c>
      <c r="L23" s="1">
        <v>432571</v>
      </c>
      <c r="M23" s="1">
        <v>116.946</v>
      </c>
      <c r="N23" s="1">
        <v>112.2</v>
      </c>
      <c r="O23" s="1">
        <v>0</v>
      </c>
      <c r="P23" s="1">
        <v>42.14</v>
      </c>
      <c r="Q23" s="1">
        <v>35.81</v>
      </c>
      <c r="R23" s="1" t="s">
        <v>48</v>
      </c>
      <c r="S23" s="1">
        <v>432571</v>
      </c>
      <c r="T23" s="1">
        <v>41.036</v>
      </c>
      <c r="U23" s="1">
        <v>35.8</v>
      </c>
      <c r="V23" s="1">
        <v>0</v>
      </c>
      <c r="W23" s="1">
        <f>MIN($B23,$I23,$P23)</f>
        <v>0</v>
      </c>
      <c r="X23" s="1">
        <f>MIN($C23,$J23,$Q23)</f>
        <v>0</v>
      </c>
      <c r="Y23" s="1">
        <f>MIN($E23,$L23,$S23)</f>
        <v>0</v>
      </c>
      <c r="Z23" s="1">
        <f>MIN($F23,$M23,$T23)</f>
        <v>0</v>
      </c>
      <c r="AA23" s="1">
        <f>MIN($G23,$N23,$U23)</f>
        <v>0</v>
      </c>
      <c r="AB23" s="1">
        <f>MIN($H23,$O23,$V23)</f>
        <v>0</v>
      </c>
      <c r="AC23" s="1">
        <f>MEDIAN($B23,$I23,$P23)</f>
        <v>0</v>
      </c>
      <c r="AD23" s="1">
        <f>MEDIAN($C23,$J23,$Q23)</f>
        <v>0</v>
      </c>
      <c r="AE23" s="1">
        <f>MEDIAN($E23,$L23,$S23)</f>
        <v>0</v>
      </c>
      <c r="AF23" s="1">
        <f>MEDIAN($F23,$M23,$T23)</f>
        <v>0</v>
      </c>
      <c r="AG23" s="1">
        <f>MEDIAN($G23,$N23,$U23)</f>
        <v>0</v>
      </c>
      <c r="AH23" s="1">
        <f>MEDIAN($H23,$O23,$V23)</f>
        <v>0</v>
      </c>
      <c r="AI23" s="1">
        <f>MAX($B23,$I23,$P23)</f>
        <v>0</v>
      </c>
      <c r="AJ23" s="1">
        <f>MAX($C23,$J23,$Q23)</f>
        <v>0</v>
      </c>
      <c r="AK23" s="1">
        <f>MAX($E23,$L23,$S23)</f>
        <v>0</v>
      </c>
      <c r="AL23" s="1">
        <f>MAX($F23,$M23,$T23)</f>
        <v>0</v>
      </c>
      <c r="AM23" s="1">
        <f>MAX($G23,$N23,$U23)</f>
        <v>0</v>
      </c>
      <c r="AN23" s="1">
        <f>MAX($H23,$O23,$V23)</f>
        <v>0</v>
      </c>
    </row>
    <row r="24" spans="1:40">
      <c r="A24" s="1" t="s">
        <v>21</v>
      </c>
      <c r="B24" s="1">
        <v>1200</v>
      </c>
      <c r="C24" s="1"/>
      <c r="D24" s="1"/>
      <c r="E24" s="1"/>
      <c r="F24" s="1"/>
      <c r="G24" s="1"/>
      <c r="H24" s="1">
        <v>0</v>
      </c>
      <c r="I24" s="1">
        <v>58.53</v>
      </c>
      <c r="J24" s="1">
        <v>52.86</v>
      </c>
      <c r="K24" s="1" t="s">
        <v>48</v>
      </c>
      <c r="L24" s="1">
        <v>432571</v>
      </c>
      <c r="M24" s="1">
        <v>57.528</v>
      </c>
      <c r="N24" s="1">
        <v>52.86</v>
      </c>
      <c r="O24" s="1">
        <v>0</v>
      </c>
      <c r="P24" s="1">
        <v>41.7</v>
      </c>
      <c r="Q24" s="1">
        <v>35.18</v>
      </c>
      <c r="R24" s="1" t="s">
        <v>48</v>
      </c>
      <c r="S24" s="1">
        <v>432571</v>
      </c>
      <c r="T24" s="1">
        <v>40.537</v>
      </c>
      <c r="U24" s="1">
        <v>35.17</v>
      </c>
      <c r="V24" s="1">
        <v>0</v>
      </c>
      <c r="W24" s="1">
        <f>MIN($B24,$I24,$P24)</f>
        <v>0</v>
      </c>
      <c r="X24" s="1">
        <f>MIN($C24,$J24,$Q24)</f>
        <v>0</v>
      </c>
      <c r="Y24" s="1">
        <f>MIN($E24,$L24,$S24)</f>
        <v>0</v>
      </c>
      <c r="Z24" s="1">
        <f>MIN($F24,$M24,$T24)</f>
        <v>0</v>
      </c>
      <c r="AA24" s="1">
        <f>MIN($G24,$N24,$U24)</f>
        <v>0</v>
      </c>
      <c r="AB24" s="1">
        <f>MIN($H24,$O24,$V24)</f>
        <v>0</v>
      </c>
      <c r="AC24" s="1">
        <f>MEDIAN($B24,$I24,$P24)</f>
        <v>0</v>
      </c>
      <c r="AD24" s="1">
        <f>MEDIAN($C24,$J24,$Q24)</f>
        <v>0</v>
      </c>
      <c r="AE24" s="1">
        <f>MEDIAN($E24,$L24,$S24)</f>
        <v>0</v>
      </c>
      <c r="AF24" s="1">
        <f>MEDIAN($F24,$M24,$T24)</f>
        <v>0</v>
      </c>
      <c r="AG24" s="1">
        <f>MEDIAN($G24,$N24,$U24)</f>
        <v>0</v>
      </c>
      <c r="AH24" s="1">
        <f>MEDIAN($H24,$O24,$V24)</f>
        <v>0</v>
      </c>
      <c r="AI24" s="1">
        <f>MAX($B24,$I24,$P24)</f>
        <v>0</v>
      </c>
      <c r="AJ24" s="1">
        <f>MAX($C24,$J24,$Q24)</f>
        <v>0</v>
      </c>
      <c r="AK24" s="1">
        <f>MAX($E24,$L24,$S24)</f>
        <v>0</v>
      </c>
      <c r="AL24" s="1">
        <f>MAX($F24,$M24,$T24)</f>
        <v>0</v>
      </c>
      <c r="AM24" s="1">
        <f>MAX($G24,$N24,$U24)</f>
        <v>0</v>
      </c>
      <c r="AN24" s="1">
        <f>MAX($H24,$O24,$V24)</f>
        <v>0</v>
      </c>
    </row>
    <row r="25" spans="1:40">
      <c r="A25" s="1" t="s">
        <v>22</v>
      </c>
      <c r="B25" s="1">
        <v>1200</v>
      </c>
      <c r="C25" s="1"/>
      <c r="D25" s="1"/>
      <c r="E25" s="1"/>
      <c r="F25" s="1"/>
      <c r="G25" s="1"/>
      <c r="H25" s="1">
        <v>0</v>
      </c>
      <c r="I25" s="1">
        <v>149.4</v>
      </c>
      <c r="J25" s="1">
        <v>123.93</v>
      </c>
      <c r="K25" s="1" t="s">
        <v>48</v>
      </c>
      <c r="L25" s="1">
        <v>432571</v>
      </c>
      <c r="M25" s="1">
        <v>142.512</v>
      </c>
      <c r="N25" s="1">
        <v>123.92</v>
      </c>
      <c r="O25" s="1">
        <v>0</v>
      </c>
      <c r="P25" s="1">
        <v>44.23</v>
      </c>
      <c r="Q25" s="1">
        <v>33.36</v>
      </c>
      <c r="R25" s="1" t="s">
        <v>48</v>
      </c>
      <c r="S25" s="1">
        <v>432571</v>
      </c>
      <c r="T25" s="1">
        <v>38.165</v>
      </c>
      <c r="U25" s="1">
        <v>33.36</v>
      </c>
      <c r="V25" s="1">
        <v>0</v>
      </c>
      <c r="W25" s="1">
        <f>MIN($B25,$I25,$P25)</f>
        <v>0</v>
      </c>
      <c r="X25" s="1">
        <f>MIN($C25,$J25,$Q25)</f>
        <v>0</v>
      </c>
      <c r="Y25" s="1">
        <f>MIN($E25,$L25,$S25)</f>
        <v>0</v>
      </c>
      <c r="Z25" s="1">
        <f>MIN($F25,$M25,$T25)</f>
        <v>0</v>
      </c>
      <c r="AA25" s="1">
        <f>MIN($G25,$N25,$U25)</f>
        <v>0</v>
      </c>
      <c r="AB25" s="1">
        <f>MIN($H25,$O25,$V25)</f>
        <v>0</v>
      </c>
      <c r="AC25" s="1">
        <f>MEDIAN($B25,$I25,$P25)</f>
        <v>0</v>
      </c>
      <c r="AD25" s="1">
        <f>MEDIAN($C25,$J25,$Q25)</f>
        <v>0</v>
      </c>
      <c r="AE25" s="1">
        <f>MEDIAN($E25,$L25,$S25)</f>
        <v>0</v>
      </c>
      <c r="AF25" s="1">
        <f>MEDIAN($F25,$M25,$T25)</f>
        <v>0</v>
      </c>
      <c r="AG25" s="1">
        <f>MEDIAN($G25,$N25,$U25)</f>
        <v>0</v>
      </c>
      <c r="AH25" s="1">
        <f>MEDIAN($H25,$O25,$V25)</f>
        <v>0</v>
      </c>
      <c r="AI25" s="1">
        <f>MAX($B25,$I25,$P25)</f>
        <v>0</v>
      </c>
      <c r="AJ25" s="1">
        <f>MAX($C25,$J25,$Q25)</f>
        <v>0</v>
      </c>
      <c r="AK25" s="1">
        <f>MAX($E25,$L25,$S25)</f>
        <v>0</v>
      </c>
      <c r="AL25" s="1">
        <f>MAX($F25,$M25,$T25)</f>
        <v>0</v>
      </c>
      <c r="AM25" s="1">
        <f>MAX($G25,$N25,$U25)</f>
        <v>0</v>
      </c>
      <c r="AN25" s="1">
        <f>MAX($H25,$O25,$V25)</f>
        <v>0</v>
      </c>
    </row>
    <row r="26" spans="1:40">
      <c r="A26" s="1" t="s">
        <v>23</v>
      </c>
      <c r="B26" s="1">
        <v>1200</v>
      </c>
      <c r="C26" s="1"/>
      <c r="D26" s="1"/>
      <c r="E26" s="1"/>
      <c r="F26" s="1"/>
      <c r="G26" s="1"/>
      <c r="H26" s="1">
        <v>0</v>
      </c>
      <c r="I26" s="1">
        <v>796.6900000000001</v>
      </c>
      <c r="J26" s="1">
        <v>771.2</v>
      </c>
      <c r="K26" s="1" t="s">
        <v>48</v>
      </c>
      <c r="L26" s="1">
        <v>432571</v>
      </c>
      <c r="M26" s="1">
        <v>789.978</v>
      </c>
      <c r="N26" s="1">
        <v>771.17</v>
      </c>
      <c r="O26" s="1">
        <v>0</v>
      </c>
      <c r="P26" s="1">
        <v>44.83</v>
      </c>
      <c r="Q26" s="1">
        <v>33.84</v>
      </c>
      <c r="R26" s="1" t="s">
        <v>48</v>
      </c>
      <c r="S26" s="1">
        <v>432571</v>
      </c>
      <c r="T26" s="1">
        <v>38.727</v>
      </c>
      <c r="U26" s="1">
        <v>33.83</v>
      </c>
      <c r="V26" s="1">
        <v>0</v>
      </c>
      <c r="W26" s="1">
        <f>MIN($B26,$I26,$P26)</f>
        <v>0</v>
      </c>
      <c r="X26" s="1">
        <f>MIN($C26,$J26,$Q26)</f>
        <v>0</v>
      </c>
      <c r="Y26" s="1">
        <f>MIN($E26,$L26,$S26)</f>
        <v>0</v>
      </c>
      <c r="Z26" s="1">
        <f>MIN($F26,$M26,$T26)</f>
        <v>0</v>
      </c>
      <c r="AA26" s="1">
        <f>MIN($G26,$N26,$U26)</f>
        <v>0</v>
      </c>
      <c r="AB26" s="1">
        <f>MIN($H26,$O26,$V26)</f>
        <v>0</v>
      </c>
      <c r="AC26" s="1">
        <f>MEDIAN($B26,$I26,$P26)</f>
        <v>0</v>
      </c>
      <c r="AD26" s="1">
        <f>MEDIAN($C26,$J26,$Q26)</f>
        <v>0</v>
      </c>
      <c r="AE26" s="1">
        <f>MEDIAN($E26,$L26,$S26)</f>
        <v>0</v>
      </c>
      <c r="AF26" s="1">
        <f>MEDIAN($F26,$M26,$T26)</f>
        <v>0</v>
      </c>
      <c r="AG26" s="1">
        <f>MEDIAN($G26,$N26,$U26)</f>
        <v>0</v>
      </c>
      <c r="AH26" s="1">
        <f>MEDIAN($H26,$O26,$V26)</f>
        <v>0</v>
      </c>
      <c r="AI26" s="1">
        <f>MAX($B26,$I26,$P26)</f>
        <v>0</v>
      </c>
      <c r="AJ26" s="1">
        <f>MAX($C26,$J26,$Q26)</f>
        <v>0</v>
      </c>
      <c r="AK26" s="1">
        <f>MAX($E26,$L26,$S26)</f>
        <v>0</v>
      </c>
      <c r="AL26" s="1">
        <f>MAX($F26,$M26,$T26)</f>
        <v>0</v>
      </c>
      <c r="AM26" s="1">
        <f>MAX($G26,$N26,$U26)</f>
        <v>0</v>
      </c>
      <c r="AN26" s="1">
        <f>MAX($H26,$O26,$V26)</f>
        <v>0</v>
      </c>
    </row>
    <row r="27" spans="1:40">
      <c r="A27" s="1" t="s">
        <v>24</v>
      </c>
      <c r="B27" s="1">
        <v>1200</v>
      </c>
      <c r="C27" s="1"/>
      <c r="D27" s="1"/>
      <c r="E27" s="1"/>
      <c r="F27" s="1"/>
      <c r="G27" s="1"/>
      <c r="H27" s="1">
        <v>0</v>
      </c>
      <c r="I27" s="1">
        <v>1200</v>
      </c>
      <c r="J27" s="1"/>
      <c r="K27" s="1"/>
      <c r="L27" s="1"/>
      <c r="M27" s="1"/>
      <c r="N27" s="1"/>
      <c r="O27" s="1">
        <v>0</v>
      </c>
      <c r="P27" s="1">
        <v>42.97</v>
      </c>
      <c r="Q27" s="1">
        <v>36.41</v>
      </c>
      <c r="R27" s="1" t="s">
        <v>48</v>
      </c>
      <c r="S27" s="1">
        <v>432571</v>
      </c>
      <c r="T27" s="1">
        <v>41.853</v>
      </c>
      <c r="U27" s="1">
        <v>36.4</v>
      </c>
      <c r="V27" s="1">
        <v>0</v>
      </c>
      <c r="W27" s="1">
        <f>MIN($B27,$I27,$P27)</f>
        <v>0</v>
      </c>
      <c r="X27" s="1">
        <f>MIN($C27,$J27,$Q27)</f>
        <v>0</v>
      </c>
      <c r="Y27" s="1">
        <f>MIN($E27,$L27,$S27)</f>
        <v>0</v>
      </c>
      <c r="Z27" s="1">
        <f>MIN($F27,$M27,$T27)</f>
        <v>0</v>
      </c>
      <c r="AA27" s="1">
        <f>MIN($G27,$N27,$U27)</f>
        <v>0</v>
      </c>
      <c r="AB27" s="1">
        <f>MIN($H27,$O27,$V27)</f>
        <v>0</v>
      </c>
      <c r="AC27" s="1">
        <f>MEDIAN($B27,$I27,$P27)</f>
        <v>0</v>
      </c>
      <c r="AD27" s="1">
        <f>MEDIAN($C27,$J27,$Q27)</f>
        <v>0</v>
      </c>
      <c r="AE27" s="1">
        <f>MEDIAN($E27,$L27,$S27)</f>
        <v>0</v>
      </c>
      <c r="AF27" s="1">
        <f>MEDIAN($F27,$M27,$T27)</f>
        <v>0</v>
      </c>
      <c r="AG27" s="1">
        <f>MEDIAN($G27,$N27,$U27)</f>
        <v>0</v>
      </c>
      <c r="AH27" s="1">
        <f>MEDIAN($H27,$O27,$V27)</f>
        <v>0</v>
      </c>
      <c r="AI27" s="1">
        <f>MAX($B27,$I27,$P27)</f>
        <v>0</v>
      </c>
      <c r="AJ27" s="1">
        <f>MAX($C27,$J27,$Q27)</f>
        <v>0</v>
      </c>
      <c r="AK27" s="1">
        <f>MAX($E27,$L27,$S27)</f>
        <v>0</v>
      </c>
      <c r="AL27" s="1">
        <f>MAX($F27,$M27,$T27)</f>
        <v>0</v>
      </c>
      <c r="AM27" s="1">
        <f>MAX($G27,$N27,$U27)</f>
        <v>0</v>
      </c>
      <c r="AN27" s="1">
        <f>MAX($H27,$O27,$V27)</f>
        <v>0</v>
      </c>
    </row>
    <row r="28" spans="1:40">
      <c r="A28" s="1" t="s">
        <v>25</v>
      </c>
      <c r="B28" s="1">
        <v>1200</v>
      </c>
      <c r="C28" s="1"/>
      <c r="D28" s="1"/>
      <c r="E28" s="1"/>
      <c r="F28" s="1"/>
      <c r="G28" s="1"/>
      <c r="H28" s="1">
        <v>0</v>
      </c>
      <c r="I28" s="1">
        <v>344.14</v>
      </c>
      <c r="J28" s="1">
        <v>331.88</v>
      </c>
      <c r="K28" s="1" t="s">
        <v>48</v>
      </c>
      <c r="L28" s="1">
        <v>432571</v>
      </c>
      <c r="M28" s="1">
        <v>342.564</v>
      </c>
      <c r="N28" s="1">
        <v>331.86</v>
      </c>
      <c r="O28" s="1">
        <v>0</v>
      </c>
      <c r="P28" s="1">
        <v>36.03</v>
      </c>
      <c r="Q28" s="1">
        <v>30.34</v>
      </c>
      <c r="R28" s="1" t="s">
        <v>48</v>
      </c>
      <c r="S28" s="1">
        <v>432571</v>
      </c>
      <c r="T28" s="1">
        <v>34.998</v>
      </c>
      <c r="U28" s="1">
        <v>30.33</v>
      </c>
      <c r="V28" s="1">
        <v>0</v>
      </c>
      <c r="W28" s="1">
        <f>MIN($B28,$I28,$P28)</f>
        <v>0</v>
      </c>
      <c r="X28" s="1">
        <f>MIN($C28,$J28,$Q28)</f>
        <v>0</v>
      </c>
      <c r="Y28" s="1">
        <f>MIN($E28,$L28,$S28)</f>
        <v>0</v>
      </c>
      <c r="Z28" s="1">
        <f>MIN($F28,$M28,$T28)</f>
        <v>0</v>
      </c>
      <c r="AA28" s="1">
        <f>MIN($G28,$N28,$U28)</f>
        <v>0</v>
      </c>
      <c r="AB28" s="1">
        <f>MIN($H28,$O28,$V28)</f>
        <v>0</v>
      </c>
      <c r="AC28" s="1">
        <f>MEDIAN($B28,$I28,$P28)</f>
        <v>0</v>
      </c>
      <c r="AD28" s="1">
        <f>MEDIAN($C28,$J28,$Q28)</f>
        <v>0</v>
      </c>
      <c r="AE28" s="1">
        <f>MEDIAN($E28,$L28,$S28)</f>
        <v>0</v>
      </c>
      <c r="AF28" s="1">
        <f>MEDIAN($F28,$M28,$T28)</f>
        <v>0</v>
      </c>
      <c r="AG28" s="1">
        <f>MEDIAN($G28,$N28,$U28)</f>
        <v>0</v>
      </c>
      <c r="AH28" s="1">
        <f>MEDIAN($H28,$O28,$V28)</f>
        <v>0</v>
      </c>
      <c r="AI28" s="1">
        <f>MAX($B28,$I28,$P28)</f>
        <v>0</v>
      </c>
      <c r="AJ28" s="1">
        <f>MAX($C28,$J28,$Q28)</f>
        <v>0</v>
      </c>
      <c r="AK28" s="1">
        <f>MAX($E28,$L28,$S28)</f>
        <v>0</v>
      </c>
      <c r="AL28" s="1">
        <f>MAX($F28,$M28,$T28)</f>
        <v>0</v>
      </c>
      <c r="AM28" s="1">
        <f>MAX($G28,$N28,$U28)</f>
        <v>0</v>
      </c>
      <c r="AN28" s="1">
        <f>MAX($H28,$O28,$V28)</f>
        <v>0</v>
      </c>
    </row>
    <row r="29" spans="1:40">
      <c r="A29" s="1" t="s">
        <v>26</v>
      </c>
      <c r="B29" s="1">
        <v>1200</v>
      </c>
      <c r="C29" s="1">
        <v>17826.32</v>
      </c>
      <c r="D29" s="1" t="s">
        <v>48</v>
      </c>
      <c r="E29" s="1">
        <v>2615970</v>
      </c>
      <c r="F29" s="1">
        <v>17837.011</v>
      </c>
      <c r="G29" s="1">
        <v>17826.1</v>
      </c>
      <c r="H29" s="1">
        <v>0</v>
      </c>
      <c r="I29" s="1">
        <v>1200</v>
      </c>
      <c r="J29" s="1">
        <v>1324.69</v>
      </c>
      <c r="K29" s="1" t="s">
        <v>48</v>
      </c>
      <c r="L29" s="1">
        <v>432571</v>
      </c>
      <c r="M29" s="1">
        <v>1338.946</v>
      </c>
      <c r="N29" s="1">
        <v>1324.68</v>
      </c>
      <c r="O29" s="1">
        <v>0</v>
      </c>
      <c r="P29" s="1">
        <v>65.52</v>
      </c>
      <c r="Q29" s="1">
        <v>59.72</v>
      </c>
      <c r="R29" s="1" t="s">
        <v>48</v>
      </c>
      <c r="S29" s="1">
        <v>432571</v>
      </c>
      <c r="T29" s="1">
        <v>64.539</v>
      </c>
      <c r="U29" s="1">
        <v>59.72</v>
      </c>
      <c r="V29" s="1">
        <v>0</v>
      </c>
      <c r="W29" s="1">
        <f>MIN($B29,$I29,$P29)</f>
        <v>0</v>
      </c>
      <c r="X29" s="1">
        <f>MIN($C29,$J29,$Q29)</f>
        <v>0</v>
      </c>
      <c r="Y29" s="1">
        <f>MIN($E29,$L29,$S29)</f>
        <v>0</v>
      </c>
      <c r="Z29" s="1">
        <f>MIN($F29,$M29,$T29)</f>
        <v>0</v>
      </c>
      <c r="AA29" s="1">
        <f>MIN($G29,$N29,$U29)</f>
        <v>0</v>
      </c>
      <c r="AB29" s="1">
        <f>MIN($H29,$O29,$V29)</f>
        <v>0</v>
      </c>
      <c r="AC29" s="1">
        <f>MEDIAN($B29,$I29,$P29)</f>
        <v>0</v>
      </c>
      <c r="AD29" s="1">
        <f>MEDIAN($C29,$J29,$Q29)</f>
        <v>0</v>
      </c>
      <c r="AE29" s="1">
        <f>MEDIAN($E29,$L29,$S29)</f>
        <v>0</v>
      </c>
      <c r="AF29" s="1">
        <f>MEDIAN($F29,$M29,$T29)</f>
        <v>0</v>
      </c>
      <c r="AG29" s="1">
        <f>MEDIAN($G29,$N29,$U29)</f>
        <v>0</v>
      </c>
      <c r="AH29" s="1">
        <f>MEDIAN($H29,$O29,$V29)</f>
        <v>0</v>
      </c>
      <c r="AI29" s="1">
        <f>MAX($B29,$I29,$P29)</f>
        <v>0</v>
      </c>
      <c r="AJ29" s="1">
        <f>MAX($C29,$J29,$Q29)</f>
        <v>0</v>
      </c>
      <c r="AK29" s="1">
        <f>MAX($E29,$L29,$S29)</f>
        <v>0</v>
      </c>
      <c r="AL29" s="1">
        <f>MAX($F29,$M29,$T29)</f>
        <v>0</v>
      </c>
      <c r="AM29" s="1">
        <f>MAX($G29,$N29,$U29)</f>
        <v>0</v>
      </c>
      <c r="AN29" s="1">
        <f>MAX($H29,$O29,$V29)</f>
        <v>0</v>
      </c>
    </row>
    <row r="30" spans="1:40">
      <c r="A30" s="1" t="s">
        <v>27</v>
      </c>
      <c r="B30" s="1">
        <v>24.91</v>
      </c>
      <c r="C30" s="1">
        <v>1.35</v>
      </c>
      <c r="D30" s="1" t="s">
        <v>48</v>
      </c>
      <c r="E30" s="1">
        <v>605425</v>
      </c>
      <c r="F30" s="1">
        <v>18.15</v>
      </c>
      <c r="G30" s="1">
        <v>1.35</v>
      </c>
      <c r="H30" s="1">
        <v>0</v>
      </c>
      <c r="I30" s="1">
        <v>1200</v>
      </c>
      <c r="J30" s="1"/>
      <c r="K30" s="1"/>
      <c r="L30" s="1"/>
      <c r="M30" s="1"/>
      <c r="N30" s="1"/>
      <c r="O30" s="1">
        <v>0</v>
      </c>
      <c r="P30" s="1">
        <v>14.29</v>
      </c>
      <c r="Q30" s="1">
        <v>5.83</v>
      </c>
      <c r="R30" s="1" t="s">
        <v>48</v>
      </c>
      <c r="S30" s="1">
        <v>568614</v>
      </c>
      <c r="T30" s="1">
        <v>13.124</v>
      </c>
      <c r="U30" s="1">
        <v>5.82</v>
      </c>
      <c r="V30" s="1">
        <v>0</v>
      </c>
      <c r="W30" s="1">
        <f>MIN($B30,$I30,$P30)</f>
        <v>0</v>
      </c>
      <c r="X30" s="1">
        <f>MIN($C30,$J30,$Q30)</f>
        <v>0</v>
      </c>
      <c r="Y30" s="1">
        <f>MIN($E30,$L30,$S30)</f>
        <v>0</v>
      </c>
      <c r="Z30" s="1">
        <f>MIN($F30,$M30,$T30)</f>
        <v>0</v>
      </c>
      <c r="AA30" s="1">
        <f>MIN($G30,$N30,$U30)</f>
        <v>0</v>
      </c>
      <c r="AB30" s="1">
        <f>MIN($H30,$O30,$V30)</f>
        <v>0</v>
      </c>
      <c r="AC30" s="1">
        <f>MEDIAN($B30,$I30,$P30)</f>
        <v>0</v>
      </c>
      <c r="AD30" s="1">
        <f>MEDIAN($C30,$J30,$Q30)</f>
        <v>0</v>
      </c>
      <c r="AE30" s="1">
        <f>MEDIAN($E30,$L30,$S30)</f>
        <v>0</v>
      </c>
      <c r="AF30" s="1">
        <f>MEDIAN($F30,$M30,$T30)</f>
        <v>0</v>
      </c>
      <c r="AG30" s="1">
        <f>MEDIAN($G30,$N30,$U30)</f>
        <v>0</v>
      </c>
      <c r="AH30" s="1">
        <f>MEDIAN($H30,$O30,$V30)</f>
        <v>0</v>
      </c>
      <c r="AI30" s="1">
        <f>MAX($B30,$I30,$P30)</f>
        <v>0</v>
      </c>
      <c r="AJ30" s="1">
        <f>MAX($C30,$J30,$Q30)</f>
        <v>0</v>
      </c>
      <c r="AK30" s="1">
        <f>MAX($E30,$L30,$S30)</f>
        <v>0</v>
      </c>
      <c r="AL30" s="1">
        <f>MAX($F30,$M30,$T30)</f>
        <v>0</v>
      </c>
      <c r="AM30" s="1">
        <f>MAX($G30,$N30,$U30)</f>
        <v>0</v>
      </c>
      <c r="AN30" s="1">
        <f>MAX($H30,$O30,$V30)</f>
        <v>0</v>
      </c>
    </row>
    <row r="31" spans="1:40">
      <c r="A31" s="1" t="s">
        <v>28</v>
      </c>
      <c r="B31" s="1">
        <v>1200</v>
      </c>
      <c r="C31" s="1"/>
      <c r="D31" s="1"/>
      <c r="E31" s="1"/>
      <c r="F31" s="1"/>
      <c r="G31" s="1"/>
      <c r="H31" s="1">
        <v>0</v>
      </c>
      <c r="I31" s="1">
        <v>348.75</v>
      </c>
      <c r="J31" s="1">
        <v>341.64</v>
      </c>
      <c r="K31" s="1" t="s">
        <v>48</v>
      </c>
      <c r="L31" s="1">
        <v>568725</v>
      </c>
      <c r="M31" s="1">
        <v>347.649</v>
      </c>
      <c r="N31" s="1">
        <v>341.63</v>
      </c>
      <c r="O31" s="1">
        <v>0</v>
      </c>
      <c r="P31" s="1">
        <v>89.95</v>
      </c>
      <c r="Q31" s="1">
        <v>81.8</v>
      </c>
      <c r="R31" s="1" t="s">
        <v>48</v>
      </c>
      <c r="S31" s="1">
        <v>568725</v>
      </c>
      <c r="T31" s="1">
        <v>88.735</v>
      </c>
      <c r="U31" s="1">
        <v>81.79000000000001</v>
      </c>
      <c r="V31" s="1">
        <v>0</v>
      </c>
      <c r="W31" s="1">
        <f>MIN($B31,$I31,$P31)</f>
        <v>0</v>
      </c>
      <c r="X31" s="1">
        <f>MIN($C31,$J31,$Q31)</f>
        <v>0</v>
      </c>
      <c r="Y31" s="1">
        <f>MIN($E31,$L31,$S31)</f>
        <v>0</v>
      </c>
      <c r="Z31" s="1">
        <f>MIN($F31,$M31,$T31)</f>
        <v>0</v>
      </c>
      <c r="AA31" s="1">
        <f>MIN($G31,$N31,$U31)</f>
        <v>0</v>
      </c>
      <c r="AB31" s="1">
        <f>MIN($H31,$O31,$V31)</f>
        <v>0</v>
      </c>
      <c r="AC31" s="1">
        <f>MEDIAN($B31,$I31,$P31)</f>
        <v>0</v>
      </c>
      <c r="AD31" s="1">
        <f>MEDIAN($C31,$J31,$Q31)</f>
        <v>0</v>
      </c>
      <c r="AE31" s="1">
        <f>MEDIAN($E31,$L31,$S31)</f>
        <v>0</v>
      </c>
      <c r="AF31" s="1">
        <f>MEDIAN($F31,$M31,$T31)</f>
        <v>0</v>
      </c>
      <c r="AG31" s="1">
        <f>MEDIAN($G31,$N31,$U31)</f>
        <v>0</v>
      </c>
      <c r="AH31" s="1">
        <f>MEDIAN($H31,$O31,$V31)</f>
        <v>0</v>
      </c>
      <c r="AI31" s="1">
        <f>MAX($B31,$I31,$P31)</f>
        <v>0</v>
      </c>
      <c r="AJ31" s="1">
        <f>MAX($C31,$J31,$Q31)</f>
        <v>0</v>
      </c>
      <c r="AK31" s="1">
        <f>MAX($E31,$L31,$S31)</f>
        <v>0</v>
      </c>
      <c r="AL31" s="1">
        <f>MAX($F31,$M31,$T31)</f>
        <v>0</v>
      </c>
      <c r="AM31" s="1">
        <f>MAX($G31,$N31,$U31)</f>
        <v>0</v>
      </c>
      <c r="AN31" s="1">
        <f>MAX($H31,$O31,$V31)</f>
        <v>0</v>
      </c>
    </row>
    <row r="32" spans="1:40">
      <c r="A32" s="1" t="s">
        <v>29</v>
      </c>
      <c r="B32" s="1">
        <v>1200</v>
      </c>
      <c r="C32" s="1"/>
      <c r="D32" s="1"/>
      <c r="E32" s="1"/>
      <c r="F32" s="1"/>
      <c r="G32" s="1"/>
      <c r="H32" s="1">
        <v>0</v>
      </c>
      <c r="I32" s="1">
        <v>1200</v>
      </c>
      <c r="J32" s="1"/>
      <c r="K32" s="1"/>
      <c r="L32" s="1"/>
      <c r="M32" s="1"/>
      <c r="N32" s="1"/>
      <c r="O32" s="1">
        <v>0</v>
      </c>
      <c r="P32" s="1">
        <v>91.59</v>
      </c>
      <c r="Q32" s="1">
        <v>83.12</v>
      </c>
      <c r="R32" s="1" t="s">
        <v>48</v>
      </c>
      <c r="S32" s="1">
        <v>568725</v>
      </c>
      <c r="T32" s="1">
        <v>90.304</v>
      </c>
      <c r="U32" s="1">
        <v>83.11</v>
      </c>
      <c r="V32" s="1">
        <v>0</v>
      </c>
      <c r="W32" s="1">
        <f>MIN($B32,$I32,$P32)</f>
        <v>0</v>
      </c>
      <c r="X32" s="1">
        <f>MIN($C32,$J32,$Q32)</f>
        <v>0</v>
      </c>
      <c r="Y32" s="1">
        <f>MIN($E32,$L32,$S32)</f>
        <v>0</v>
      </c>
      <c r="Z32" s="1">
        <f>MIN($F32,$M32,$T32)</f>
        <v>0</v>
      </c>
      <c r="AA32" s="1">
        <f>MIN($G32,$N32,$U32)</f>
        <v>0</v>
      </c>
      <c r="AB32" s="1">
        <f>MIN($H32,$O32,$V32)</f>
        <v>0</v>
      </c>
      <c r="AC32" s="1">
        <f>MEDIAN($B32,$I32,$P32)</f>
        <v>0</v>
      </c>
      <c r="AD32" s="1">
        <f>MEDIAN($C32,$J32,$Q32)</f>
        <v>0</v>
      </c>
      <c r="AE32" s="1">
        <f>MEDIAN($E32,$L32,$S32)</f>
        <v>0</v>
      </c>
      <c r="AF32" s="1">
        <f>MEDIAN($F32,$M32,$T32)</f>
        <v>0</v>
      </c>
      <c r="AG32" s="1">
        <f>MEDIAN($G32,$N32,$U32)</f>
        <v>0</v>
      </c>
      <c r="AH32" s="1">
        <f>MEDIAN($H32,$O32,$V32)</f>
        <v>0</v>
      </c>
      <c r="AI32" s="1">
        <f>MAX($B32,$I32,$P32)</f>
        <v>0</v>
      </c>
      <c r="AJ32" s="1">
        <f>MAX($C32,$J32,$Q32)</f>
        <v>0</v>
      </c>
      <c r="AK32" s="1">
        <f>MAX($E32,$L32,$S32)</f>
        <v>0</v>
      </c>
      <c r="AL32" s="1">
        <f>MAX($F32,$M32,$T32)</f>
        <v>0</v>
      </c>
      <c r="AM32" s="1">
        <f>MAX($G32,$N32,$U32)</f>
        <v>0</v>
      </c>
      <c r="AN32" s="1">
        <f>MAX($H32,$O32,$V32)</f>
        <v>0</v>
      </c>
    </row>
    <row r="33" spans="1:40">
      <c r="A33" s="1" t="s">
        <v>30</v>
      </c>
      <c r="B33" s="1">
        <v>1200</v>
      </c>
      <c r="C33" s="1"/>
      <c r="D33" s="1"/>
      <c r="E33" s="1"/>
      <c r="F33" s="1"/>
      <c r="G33" s="1"/>
      <c r="H33" s="1">
        <v>0</v>
      </c>
      <c r="I33" s="1">
        <v>164.57</v>
      </c>
      <c r="J33" s="1">
        <v>157.1</v>
      </c>
      <c r="K33" s="1" t="s">
        <v>48</v>
      </c>
      <c r="L33" s="1">
        <v>568725</v>
      </c>
      <c r="M33" s="1">
        <v>163.421</v>
      </c>
      <c r="N33" s="1">
        <v>157.09</v>
      </c>
      <c r="O33" s="1">
        <v>0</v>
      </c>
      <c r="P33" s="1">
        <v>85.94</v>
      </c>
      <c r="Q33" s="1">
        <v>78.09</v>
      </c>
      <c r="R33" s="1" t="s">
        <v>48</v>
      </c>
      <c r="S33" s="1">
        <v>568725</v>
      </c>
      <c r="T33" s="1">
        <v>84.74299999999999</v>
      </c>
      <c r="U33" s="1">
        <v>78.09</v>
      </c>
      <c r="V33" s="1">
        <v>0</v>
      </c>
      <c r="W33" s="1">
        <f>MIN($B33,$I33,$P33)</f>
        <v>0</v>
      </c>
      <c r="X33" s="1">
        <f>MIN($C33,$J33,$Q33)</f>
        <v>0</v>
      </c>
      <c r="Y33" s="1">
        <f>MIN($E33,$L33,$S33)</f>
        <v>0</v>
      </c>
      <c r="Z33" s="1">
        <f>MIN($F33,$M33,$T33)</f>
        <v>0</v>
      </c>
      <c r="AA33" s="1">
        <f>MIN($G33,$N33,$U33)</f>
        <v>0</v>
      </c>
      <c r="AB33" s="1">
        <f>MIN($H33,$O33,$V33)</f>
        <v>0</v>
      </c>
      <c r="AC33" s="1">
        <f>MEDIAN($B33,$I33,$P33)</f>
        <v>0</v>
      </c>
      <c r="AD33" s="1">
        <f>MEDIAN($C33,$J33,$Q33)</f>
        <v>0</v>
      </c>
      <c r="AE33" s="1">
        <f>MEDIAN($E33,$L33,$S33)</f>
        <v>0</v>
      </c>
      <c r="AF33" s="1">
        <f>MEDIAN($F33,$M33,$T33)</f>
        <v>0</v>
      </c>
      <c r="AG33" s="1">
        <f>MEDIAN($G33,$N33,$U33)</f>
        <v>0</v>
      </c>
      <c r="AH33" s="1">
        <f>MEDIAN($H33,$O33,$V33)</f>
        <v>0</v>
      </c>
      <c r="AI33" s="1">
        <f>MAX($B33,$I33,$P33)</f>
        <v>0</v>
      </c>
      <c r="AJ33" s="1">
        <f>MAX($C33,$J33,$Q33)</f>
        <v>0</v>
      </c>
      <c r="AK33" s="1">
        <f>MAX($E33,$L33,$S33)</f>
        <v>0</v>
      </c>
      <c r="AL33" s="1">
        <f>MAX($F33,$M33,$T33)</f>
        <v>0</v>
      </c>
      <c r="AM33" s="1">
        <f>MAX($G33,$N33,$U33)</f>
        <v>0</v>
      </c>
      <c r="AN33" s="1">
        <f>MAX($H33,$O33,$V33)</f>
        <v>0</v>
      </c>
    </row>
    <row r="34" spans="1:40">
      <c r="A34" s="1" t="s">
        <v>31</v>
      </c>
      <c r="B34" s="1">
        <v>1200</v>
      </c>
      <c r="C34" s="1"/>
      <c r="D34" s="1"/>
      <c r="E34" s="1"/>
      <c r="F34" s="1"/>
      <c r="G34" s="1"/>
      <c r="H34" s="1">
        <v>0</v>
      </c>
      <c r="I34" s="1">
        <v>38.86</v>
      </c>
      <c r="J34" s="1">
        <v>31.58</v>
      </c>
      <c r="K34" s="1" t="s">
        <v>48</v>
      </c>
      <c r="L34" s="1">
        <v>568725</v>
      </c>
      <c r="M34" s="1">
        <v>37.792</v>
      </c>
      <c r="N34" s="1">
        <v>31.57</v>
      </c>
      <c r="O34" s="1">
        <v>0</v>
      </c>
      <c r="P34" s="1">
        <v>85.88</v>
      </c>
      <c r="Q34" s="1">
        <v>77.88</v>
      </c>
      <c r="R34" s="1" t="s">
        <v>48</v>
      </c>
      <c r="S34" s="1">
        <v>568725</v>
      </c>
      <c r="T34" s="1">
        <v>84.717</v>
      </c>
      <c r="U34" s="1">
        <v>77.87</v>
      </c>
      <c r="V34" s="1">
        <v>0</v>
      </c>
      <c r="W34" s="1">
        <f>MIN($B34,$I34,$P34)</f>
        <v>0</v>
      </c>
      <c r="X34" s="1">
        <f>MIN($C34,$J34,$Q34)</f>
        <v>0</v>
      </c>
      <c r="Y34" s="1">
        <f>MIN($E34,$L34,$S34)</f>
        <v>0</v>
      </c>
      <c r="Z34" s="1">
        <f>MIN($F34,$M34,$T34)</f>
        <v>0</v>
      </c>
      <c r="AA34" s="1">
        <f>MIN($G34,$N34,$U34)</f>
        <v>0</v>
      </c>
      <c r="AB34" s="1">
        <f>MIN($H34,$O34,$V34)</f>
        <v>0</v>
      </c>
      <c r="AC34" s="1">
        <f>MEDIAN($B34,$I34,$P34)</f>
        <v>0</v>
      </c>
      <c r="AD34" s="1">
        <f>MEDIAN($C34,$J34,$Q34)</f>
        <v>0</v>
      </c>
      <c r="AE34" s="1">
        <f>MEDIAN($E34,$L34,$S34)</f>
        <v>0</v>
      </c>
      <c r="AF34" s="1">
        <f>MEDIAN($F34,$M34,$T34)</f>
        <v>0</v>
      </c>
      <c r="AG34" s="1">
        <f>MEDIAN($G34,$N34,$U34)</f>
        <v>0</v>
      </c>
      <c r="AH34" s="1">
        <f>MEDIAN($H34,$O34,$V34)</f>
        <v>0</v>
      </c>
      <c r="AI34" s="1">
        <f>MAX($B34,$I34,$P34)</f>
        <v>0</v>
      </c>
      <c r="AJ34" s="1">
        <f>MAX($C34,$J34,$Q34)</f>
        <v>0</v>
      </c>
      <c r="AK34" s="1">
        <f>MAX($E34,$L34,$S34)</f>
        <v>0</v>
      </c>
      <c r="AL34" s="1">
        <f>MAX($F34,$M34,$T34)</f>
        <v>0</v>
      </c>
      <c r="AM34" s="1">
        <f>MAX($G34,$N34,$U34)</f>
        <v>0</v>
      </c>
      <c r="AN34" s="1">
        <f>MAX($H34,$O34,$V34)</f>
        <v>0</v>
      </c>
    </row>
    <row r="35" spans="1:40">
      <c r="A35" s="1" t="s">
        <v>32</v>
      </c>
      <c r="B35" s="1">
        <v>1200</v>
      </c>
      <c r="C35" s="1"/>
      <c r="D35" s="1"/>
      <c r="E35" s="1"/>
      <c r="F35" s="1"/>
      <c r="G35" s="1"/>
      <c r="H35" s="1">
        <v>0</v>
      </c>
      <c r="I35" s="1">
        <v>1200</v>
      </c>
      <c r="J35" s="1">
        <v>1326.67</v>
      </c>
      <c r="K35" s="1" t="s">
        <v>48</v>
      </c>
      <c r="L35" s="1">
        <v>568725</v>
      </c>
      <c r="M35" s="1">
        <v>1340.916</v>
      </c>
      <c r="N35" s="1">
        <v>1326.64</v>
      </c>
      <c r="O35" s="1">
        <v>0</v>
      </c>
      <c r="P35" s="1">
        <v>78.34</v>
      </c>
      <c r="Q35" s="1">
        <v>70.84</v>
      </c>
      <c r="R35" s="1" t="s">
        <v>48</v>
      </c>
      <c r="S35" s="1">
        <v>568725</v>
      </c>
      <c r="T35" s="1">
        <v>77.20699999999999</v>
      </c>
      <c r="U35" s="1">
        <v>70.83</v>
      </c>
      <c r="V35" s="1">
        <v>0</v>
      </c>
      <c r="W35" s="1">
        <f>MIN($B35,$I35,$P35)</f>
        <v>0</v>
      </c>
      <c r="X35" s="1">
        <f>MIN($C35,$J35,$Q35)</f>
        <v>0</v>
      </c>
      <c r="Y35" s="1">
        <f>MIN($E35,$L35,$S35)</f>
        <v>0</v>
      </c>
      <c r="Z35" s="1">
        <f>MIN($F35,$M35,$T35)</f>
        <v>0</v>
      </c>
      <c r="AA35" s="1">
        <f>MIN($G35,$N35,$U35)</f>
        <v>0</v>
      </c>
      <c r="AB35" s="1">
        <f>MIN($H35,$O35,$V35)</f>
        <v>0</v>
      </c>
      <c r="AC35" s="1">
        <f>MEDIAN($B35,$I35,$P35)</f>
        <v>0</v>
      </c>
      <c r="AD35" s="1">
        <f>MEDIAN($C35,$J35,$Q35)</f>
        <v>0</v>
      </c>
      <c r="AE35" s="1">
        <f>MEDIAN($E35,$L35,$S35)</f>
        <v>0</v>
      </c>
      <c r="AF35" s="1">
        <f>MEDIAN($F35,$M35,$T35)</f>
        <v>0</v>
      </c>
      <c r="AG35" s="1">
        <f>MEDIAN($G35,$N35,$U35)</f>
        <v>0</v>
      </c>
      <c r="AH35" s="1">
        <f>MEDIAN($H35,$O35,$V35)</f>
        <v>0</v>
      </c>
      <c r="AI35" s="1">
        <f>MAX($B35,$I35,$P35)</f>
        <v>0</v>
      </c>
      <c r="AJ35" s="1">
        <f>MAX($C35,$J35,$Q35)</f>
        <v>0</v>
      </c>
      <c r="AK35" s="1">
        <f>MAX($E35,$L35,$S35)</f>
        <v>0</v>
      </c>
      <c r="AL35" s="1">
        <f>MAX($F35,$M35,$T35)</f>
        <v>0</v>
      </c>
      <c r="AM35" s="1">
        <f>MAX($G35,$N35,$U35)</f>
        <v>0</v>
      </c>
      <c r="AN35" s="1">
        <f>MAX($H35,$O35,$V35)</f>
        <v>0</v>
      </c>
    </row>
    <row r="36" spans="1:40">
      <c r="A36" s="1" t="s">
        <v>33</v>
      </c>
      <c r="B36" s="1">
        <v>1200</v>
      </c>
      <c r="C36" s="1"/>
      <c r="D36" s="1"/>
      <c r="E36" s="1"/>
      <c r="F36" s="1"/>
      <c r="G36" s="1"/>
      <c r="H36" s="1">
        <v>0</v>
      </c>
      <c r="I36" s="1">
        <v>284.78</v>
      </c>
      <c r="J36" s="1">
        <v>259.15</v>
      </c>
      <c r="K36" s="1" t="s">
        <v>48</v>
      </c>
      <c r="L36" s="1">
        <v>568725</v>
      </c>
      <c r="M36" s="1">
        <v>282.812</v>
      </c>
      <c r="N36" s="1">
        <v>259.14</v>
      </c>
      <c r="O36" s="1">
        <v>0</v>
      </c>
      <c r="P36" s="1">
        <v>79.33</v>
      </c>
      <c r="Q36" s="1">
        <v>71.89</v>
      </c>
      <c r="R36" s="1" t="s">
        <v>48</v>
      </c>
      <c r="S36" s="1">
        <v>568725</v>
      </c>
      <c r="T36" s="1">
        <v>78.172</v>
      </c>
      <c r="U36" s="1">
        <v>71.88</v>
      </c>
      <c r="V36" s="1">
        <v>0</v>
      </c>
      <c r="W36" s="1">
        <f>MIN($B36,$I36,$P36)</f>
        <v>0</v>
      </c>
      <c r="X36" s="1">
        <f>MIN($C36,$J36,$Q36)</f>
        <v>0</v>
      </c>
      <c r="Y36" s="1">
        <f>MIN($E36,$L36,$S36)</f>
        <v>0</v>
      </c>
      <c r="Z36" s="1">
        <f>MIN($F36,$M36,$T36)</f>
        <v>0</v>
      </c>
      <c r="AA36" s="1">
        <f>MIN($G36,$N36,$U36)</f>
        <v>0</v>
      </c>
      <c r="AB36" s="1">
        <f>MIN($H36,$O36,$V36)</f>
        <v>0</v>
      </c>
      <c r="AC36" s="1">
        <f>MEDIAN($B36,$I36,$P36)</f>
        <v>0</v>
      </c>
      <c r="AD36" s="1">
        <f>MEDIAN($C36,$J36,$Q36)</f>
        <v>0</v>
      </c>
      <c r="AE36" s="1">
        <f>MEDIAN($E36,$L36,$S36)</f>
        <v>0</v>
      </c>
      <c r="AF36" s="1">
        <f>MEDIAN($F36,$M36,$T36)</f>
        <v>0</v>
      </c>
      <c r="AG36" s="1">
        <f>MEDIAN($G36,$N36,$U36)</f>
        <v>0</v>
      </c>
      <c r="AH36" s="1">
        <f>MEDIAN($H36,$O36,$V36)</f>
        <v>0</v>
      </c>
      <c r="AI36" s="1">
        <f>MAX($B36,$I36,$P36)</f>
        <v>0</v>
      </c>
      <c r="AJ36" s="1">
        <f>MAX($C36,$J36,$Q36)</f>
        <v>0</v>
      </c>
      <c r="AK36" s="1">
        <f>MAX($E36,$L36,$S36)</f>
        <v>0</v>
      </c>
      <c r="AL36" s="1">
        <f>MAX($F36,$M36,$T36)</f>
        <v>0</v>
      </c>
      <c r="AM36" s="1">
        <f>MAX($G36,$N36,$U36)</f>
        <v>0</v>
      </c>
      <c r="AN36" s="1">
        <f>MAX($H36,$O36,$V36)</f>
        <v>0</v>
      </c>
    </row>
    <row r="37" spans="1:40">
      <c r="A37" s="1" t="s">
        <v>34</v>
      </c>
      <c r="B37" s="1">
        <v>1200</v>
      </c>
      <c r="C37" s="1"/>
      <c r="D37" s="1"/>
      <c r="E37" s="1"/>
      <c r="F37" s="1"/>
      <c r="G37" s="1"/>
      <c r="H37" s="1">
        <v>0</v>
      </c>
      <c r="I37" s="1">
        <v>75.62</v>
      </c>
      <c r="J37" s="1">
        <v>68.11</v>
      </c>
      <c r="K37" s="1" t="s">
        <v>48</v>
      </c>
      <c r="L37" s="1">
        <v>568725</v>
      </c>
      <c r="M37" s="1">
        <v>74.438</v>
      </c>
      <c r="N37" s="1">
        <v>68.09999999999999</v>
      </c>
      <c r="O37" s="1">
        <v>0</v>
      </c>
      <c r="P37" s="1">
        <v>89.3</v>
      </c>
      <c r="Q37" s="1">
        <v>81.05</v>
      </c>
      <c r="R37" s="1" t="s">
        <v>48</v>
      </c>
      <c r="S37" s="1">
        <v>568725</v>
      </c>
      <c r="T37" s="1">
        <v>88.063</v>
      </c>
      <c r="U37" s="1">
        <v>81.04000000000001</v>
      </c>
      <c r="V37" s="1">
        <v>0</v>
      </c>
      <c r="W37" s="1">
        <f>MIN($B37,$I37,$P37)</f>
        <v>0</v>
      </c>
      <c r="X37" s="1">
        <f>MIN($C37,$J37,$Q37)</f>
        <v>0</v>
      </c>
      <c r="Y37" s="1">
        <f>MIN($E37,$L37,$S37)</f>
        <v>0</v>
      </c>
      <c r="Z37" s="1">
        <f>MIN($F37,$M37,$T37)</f>
        <v>0</v>
      </c>
      <c r="AA37" s="1">
        <f>MIN($G37,$N37,$U37)</f>
        <v>0</v>
      </c>
      <c r="AB37" s="1">
        <f>MIN($H37,$O37,$V37)</f>
        <v>0</v>
      </c>
      <c r="AC37" s="1">
        <f>MEDIAN($B37,$I37,$P37)</f>
        <v>0</v>
      </c>
      <c r="AD37" s="1">
        <f>MEDIAN($C37,$J37,$Q37)</f>
        <v>0</v>
      </c>
      <c r="AE37" s="1">
        <f>MEDIAN($E37,$L37,$S37)</f>
        <v>0</v>
      </c>
      <c r="AF37" s="1">
        <f>MEDIAN($F37,$M37,$T37)</f>
        <v>0</v>
      </c>
      <c r="AG37" s="1">
        <f>MEDIAN($G37,$N37,$U37)</f>
        <v>0</v>
      </c>
      <c r="AH37" s="1">
        <f>MEDIAN($H37,$O37,$V37)</f>
        <v>0</v>
      </c>
      <c r="AI37" s="1">
        <f>MAX($B37,$I37,$P37)</f>
        <v>0</v>
      </c>
      <c r="AJ37" s="1">
        <f>MAX($C37,$J37,$Q37)</f>
        <v>0</v>
      </c>
      <c r="AK37" s="1">
        <f>MAX($E37,$L37,$S37)</f>
        <v>0</v>
      </c>
      <c r="AL37" s="1">
        <f>MAX($F37,$M37,$T37)</f>
        <v>0</v>
      </c>
      <c r="AM37" s="1">
        <f>MAX($G37,$N37,$U37)</f>
        <v>0</v>
      </c>
      <c r="AN37" s="1">
        <f>MAX($H37,$O37,$V37)</f>
        <v>0</v>
      </c>
    </row>
    <row r="38" spans="1:40">
      <c r="A38" s="1" t="s">
        <v>35</v>
      </c>
      <c r="B38" s="1">
        <v>1200</v>
      </c>
      <c r="C38" s="1"/>
      <c r="D38" s="1"/>
      <c r="E38" s="1"/>
      <c r="F38" s="1"/>
      <c r="G38" s="1"/>
      <c r="H38" s="1">
        <v>0</v>
      </c>
      <c r="I38" s="1">
        <v>1200</v>
      </c>
      <c r="J38" s="1"/>
      <c r="K38" s="1"/>
      <c r="L38" s="1"/>
      <c r="M38" s="1"/>
      <c r="N38" s="1"/>
      <c r="O38" s="1">
        <v>0</v>
      </c>
      <c r="P38" s="1">
        <v>247.81</v>
      </c>
      <c r="Q38" s="1">
        <v>240.59</v>
      </c>
      <c r="R38" s="1" t="s">
        <v>48</v>
      </c>
      <c r="S38" s="1">
        <v>568725</v>
      </c>
      <c r="T38" s="1">
        <v>246.804</v>
      </c>
      <c r="U38" s="1">
        <v>240.58</v>
      </c>
      <c r="V38" s="1">
        <v>0</v>
      </c>
      <c r="W38" s="1">
        <f>MIN($B38,$I38,$P38)</f>
        <v>0</v>
      </c>
      <c r="X38" s="1">
        <f>MIN($C38,$J38,$Q38)</f>
        <v>0</v>
      </c>
      <c r="Y38" s="1">
        <f>MIN($E38,$L38,$S38)</f>
        <v>0</v>
      </c>
      <c r="Z38" s="1">
        <f>MIN($F38,$M38,$T38)</f>
        <v>0</v>
      </c>
      <c r="AA38" s="1">
        <f>MIN($G38,$N38,$U38)</f>
        <v>0</v>
      </c>
      <c r="AB38" s="1">
        <f>MIN($H38,$O38,$V38)</f>
        <v>0</v>
      </c>
      <c r="AC38" s="1">
        <f>MEDIAN($B38,$I38,$P38)</f>
        <v>0</v>
      </c>
      <c r="AD38" s="1">
        <f>MEDIAN($C38,$J38,$Q38)</f>
        <v>0</v>
      </c>
      <c r="AE38" s="1">
        <f>MEDIAN($E38,$L38,$S38)</f>
        <v>0</v>
      </c>
      <c r="AF38" s="1">
        <f>MEDIAN($F38,$M38,$T38)</f>
        <v>0</v>
      </c>
      <c r="AG38" s="1">
        <f>MEDIAN($G38,$N38,$U38)</f>
        <v>0</v>
      </c>
      <c r="AH38" s="1">
        <f>MEDIAN($H38,$O38,$V38)</f>
        <v>0</v>
      </c>
      <c r="AI38" s="1">
        <f>MAX($B38,$I38,$P38)</f>
        <v>0</v>
      </c>
      <c r="AJ38" s="1">
        <f>MAX($C38,$J38,$Q38)</f>
        <v>0</v>
      </c>
      <c r="AK38" s="1">
        <f>MAX($E38,$L38,$S38)</f>
        <v>0</v>
      </c>
      <c r="AL38" s="1">
        <f>MAX($F38,$M38,$T38)</f>
        <v>0</v>
      </c>
      <c r="AM38" s="1">
        <f>MAX($G38,$N38,$U38)</f>
        <v>0</v>
      </c>
      <c r="AN38" s="1">
        <f>MAX($H38,$O38,$V38)</f>
        <v>0</v>
      </c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>
        <f>SUM(I$3:I$38)</f>
        <v>0</v>
      </c>
      <c r="J40" s="1">
        <f>SUM(J$3:J$38)</f>
        <v>0</v>
      </c>
      <c r="K40" s="1"/>
      <c r="L40" s="1">
        <f>SUM(L$3:L$38)</f>
        <v>0</v>
      </c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/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  <c r="AC40" s="1">
        <f>SUM(AC$3:AC$38)</f>
        <v>0</v>
      </c>
      <c r="AD40" s="1">
        <f>SUM(AD$3:AD$38)</f>
        <v>0</v>
      </c>
      <c r="AE40" s="1">
        <f>SUM(AE$3:AE$38)</f>
        <v>0</v>
      </c>
      <c r="AF40" s="1">
        <f>SUM(AF$3:AF$38)</f>
        <v>0</v>
      </c>
      <c r="AG40" s="1">
        <f>SUM(AG$3:AG$38)</f>
        <v>0</v>
      </c>
      <c r="AH40" s="1">
        <f>SUM(AH$3:AH$38)</f>
        <v>0</v>
      </c>
      <c r="AI40" s="1">
        <f>SUM(AI$3:AI$38)</f>
        <v>0</v>
      </c>
      <c r="AJ40" s="1">
        <f>SUM(AJ$3:AJ$38)</f>
        <v>0</v>
      </c>
      <c r="AK40" s="1">
        <f>SUM(AK$3:AK$38)</f>
        <v>0</v>
      </c>
      <c r="AL40" s="1">
        <f>SUM(AL$3:AL$38)</f>
        <v>0</v>
      </c>
      <c r="AM40" s="1">
        <f>SUM(AM$3:AM$38)</f>
        <v>0</v>
      </c>
      <c r="AN40" s="1">
        <f>SUM(AN$3:AN$38)</f>
        <v>0</v>
      </c>
    </row>
    <row r="41" spans="1:40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>
        <f>AVERAGE(I$3:I$38)</f>
        <v>0</v>
      </c>
      <c r="J41" s="1">
        <f>AVERAGE(J$3:J$38)</f>
        <v>0</v>
      </c>
      <c r="K41" s="1"/>
      <c r="L41" s="1">
        <f>AVERAGE(L$3:L$38)</f>
        <v>0</v>
      </c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/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  <c r="AC41" s="1">
        <f>AVERAGE(AC$3:AC$38)</f>
        <v>0</v>
      </c>
      <c r="AD41" s="1">
        <f>AVERAGE(AD$3:AD$38)</f>
        <v>0</v>
      </c>
      <c r="AE41" s="1">
        <f>AVERAGE(AE$3:AE$38)</f>
        <v>0</v>
      </c>
      <c r="AF41" s="1">
        <f>AVERAGE(AF$3:AF$38)</f>
        <v>0</v>
      </c>
      <c r="AG41" s="1">
        <f>AVERAGE(AG$3:AG$38)</f>
        <v>0</v>
      </c>
      <c r="AH41" s="1">
        <f>AVERAGE(AH$3:AH$38)</f>
        <v>0</v>
      </c>
      <c r="AI41" s="1">
        <f>AVERAGE(AI$3:AI$38)</f>
        <v>0</v>
      </c>
      <c r="AJ41" s="1">
        <f>AVERAGE(AJ$3:AJ$38)</f>
        <v>0</v>
      </c>
      <c r="AK41" s="1">
        <f>AVERAGE(AK$3:AK$38)</f>
        <v>0</v>
      </c>
      <c r="AL41" s="1">
        <f>AVERAGE(AL$3:AL$38)</f>
        <v>0</v>
      </c>
      <c r="AM41" s="1">
        <f>AVERAGE(AM$3:AM$38)</f>
        <v>0</v>
      </c>
      <c r="AN41" s="1">
        <f>AVERAGE(AN$3:AN$38)</f>
        <v>0</v>
      </c>
    </row>
    <row r="42" spans="1:40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>
        <f>STDEV(I$3:I$38)</f>
        <v>0</v>
      </c>
      <c r="J42" s="1">
        <f>STDEV(J$3:J$38)</f>
        <v>0</v>
      </c>
      <c r="K42" s="1"/>
      <c r="L42" s="1">
        <f>STDEV(L$3:L$38)</f>
        <v>0</v>
      </c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/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  <c r="AC42" s="1">
        <f>STDEV(AC$3:AC$38)</f>
        <v>0</v>
      </c>
      <c r="AD42" s="1">
        <f>STDEV(AD$3:AD$38)</f>
        <v>0</v>
      </c>
      <c r="AE42" s="1">
        <f>STDEV(AE$3:AE$38)</f>
        <v>0</v>
      </c>
      <c r="AF42" s="1">
        <f>STDEV(AF$3:AF$38)</f>
        <v>0</v>
      </c>
      <c r="AG42" s="1">
        <f>STDEV(AG$3:AG$38)</f>
        <v>0</v>
      </c>
      <c r="AH42" s="1">
        <f>STDEV(AH$3:AH$38)</f>
        <v>0</v>
      </c>
      <c r="AI42" s="1">
        <f>STDEV(AI$3:AI$38)</f>
        <v>0</v>
      </c>
      <c r="AJ42" s="1">
        <f>STDEV(AJ$3:AJ$38)</f>
        <v>0</v>
      </c>
      <c r="AK42" s="1">
        <f>STDEV(AK$3:AK$38)</f>
        <v>0</v>
      </c>
      <c r="AL42" s="1">
        <f>STDEV(AL$3:AL$38)</f>
        <v>0</v>
      </c>
      <c r="AM42" s="1">
        <f>STDEV(AM$3:AM$38)</f>
        <v>0</v>
      </c>
      <c r="AN42" s="1">
        <f>STDEV(AN$3:AN$38)</f>
        <v>0</v>
      </c>
    </row>
    <row r="43" spans="1:40">
      <c r="A43" s="1" t="s">
        <v>39</v>
      </c>
      <c r="B43" s="1">
        <f>SUMPRODUCT(--(B$3:B$38-$W$3:$W$38)^2)^0.5</f>
        <v>0</v>
      </c>
      <c r="C43" s="1">
        <f>SUMPRODUCT(--(C$3:C$38-$X$3:$X$38)^2)^0.5</f>
        <v>0</v>
      </c>
      <c r="D43" s="1"/>
      <c r="E43" s="1">
        <f>SUMPRODUCT(--(E$3:E$38-$Y$3:$Y$38)^2)^0.5</f>
        <v>0</v>
      </c>
      <c r="F43" s="1">
        <f>SUMPRODUCT(--(F$3:F$38-$Z$3:$Z$38)^2)^0.5</f>
        <v>0</v>
      </c>
      <c r="G43" s="1">
        <f>SUMPRODUCT(--(G$3:G$38-$AA$3:$AA$38)^2)^0.5</f>
        <v>0</v>
      </c>
      <c r="H43" s="1">
        <f>SUMPRODUCT(--(H$3:H$38-$AB$3:$AB$38)^2)^0.5</f>
        <v>0</v>
      </c>
      <c r="I43" s="1">
        <f>SUMPRODUCT(--(I$3:I$38-$W$3:$W$38)^2)^0.5</f>
        <v>0</v>
      </c>
      <c r="J43" s="1">
        <f>SUMPRODUCT(--(J$3:J$38-$X$3:$X$38)^2)^0.5</f>
        <v>0</v>
      </c>
      <c r="K43" s="1"/>
      <c r="L43" s="1">
        <f>SUMPRODUCT(--(L$3:L$38-$Y$3:$Y$38)^2)^0.5</f>
        <v>0</v>
      </c>
      <c r="M43" s="1">
        <f>SUMPRODUCT(--(M$3:M$38-$Z$3:$Z$38)^2)^0.5</f>
        <v>0</v>
      </c>
      <c r="N43" s="1">
        <f>SUMPRODUCT(--(N$3:N$38-$AA$3:$AA$38)^2)^0.5</f>
        <v>0</v>
      </c>
      <c r="O43" s="1">
        <f>SUMPRODUCT(--(O$3:O$38-$AB$3:$AB$38)^2)^0.5</f>
        <v>0</v>
      </c>
      <c r="P43" s="1">
        <f>SUMPRODUCT(--(P$3:P$38-$W$3:$W$38)^2)^0.5</f>
        <v>0</v>
      </c>
      <c r="Q43" s="1">
        <f>SUMPRODUCT(--(Q$3:Q$38-$X$3:$X$38)^2)^0.5</f>
        <v>0</v>
      </c>
      <c r="R43" s="1"/>
      <c r="S43" s="1">
        <f>SUMPRODUCT(--(S$3:S$38-$Y$3:$Y$38)^2)^0.5</f>
        <v>0</v>
      </c>
      <c r="T43" s="1">
        <f>SUMPRODUCT(--(T$3:T$38-$Z$3:$Z$38)^2)^0.5</f>
        <v>0</v>
      </c>
      <c r="U43" s="1">
        <f>SUMPRODUCT(--(U$3:U$38-$AA$3:$AA$38)^2)^0.5</f>
        <v>0</v>
      </c>
      <c r="V43" s="1">
        <f>SUMPRODUCT(--(V$3:V$38-$AB$3:$AB$38)^2)^0.5</f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 t="s">
        <v>40</v>
      </c>
      <c r="B44" s="1">
        <f>SUMPRODUCT(NOT(ISBLANK(B$3:B$38))*(B$3:B$38=$W$3:$W$38))</f>
        <v>0</v>
      </c>
      <c r="C44" s="1">
        <f>SUMPRODUCT(NOT(ISBLANK(C$3:C$38))*(C$3:C$38=$X$3:$X$38))</f>
        <v>0</v>
      </c>
      <c r="D44" s="1"/>
      <c r="E44" s="1">
        <f>SUMPRODUCT(NOT(ISBLANK(E$3:E$38))*(E$3:E$38=$Y$3:$Y$38))</f>
        <v>0</v>
      </c>
      <c r="F44" s="1">
        <f>SUMPRODUCT(NOT(ISBLANK(F$3:F$38))*(F$3:F$38=$Z$3:$Z$38))</f>
        <v>0</v>
      </c>
      <c r="G44" s="1">
        <f>SUMPRODUCT(NOT(ISBLANK(G$3:G$38))*(G$3:G$38=$AA$3:$AA$38))</f>
        <v>0</v>
      </c>
      <c r="H44" s="1">
        <f>SUMPRODUCT(NOT(ISBLANK(H$3:H$38))*(H$3:H$38=$AB$3:$AB$38))</f>
        <v>0</v>
      </c>
      <c r="I44" s="1">
        <f>SUMPRODUCT(NOT(ISBLANK(I$3:I$38))*(I$3:I$38=$W$3:$W$38))</f>
        <v>0</v>
      </c>
      <c r="J44" s="1">
        <f>SUMPRODUCT(NOT(ISBLANK(J$3:J$38))*(J$3:J$38=$X$3:$X$38))</f>
        <v>0</v>
      </c>
      <c r="K44" s="1"/>
      <c r="L44" s="1">
        <f>SUMPRODUCT(NOT(ISBLANK(L$3:L$38))*(L$3:L$38=$Y$3:$Y$38))</f>
        <v>0</v>
      </c>
      <c r="M44" s="1">
        <f>SUMPRODUCT(NOT(ISBLANK(M$3:M$38))*(M$3:M$38=$Z$3:$Z$38))</f>
        <v>0</v>
      </c>
      <c r="N44" s="1">
        <f>SUMPRODUCT(NOT(ISBLANK(N$3:N$38))*(N$3:N$38=$AA$3:$AA$38))</f>
        <v>0</v>
      </c>
      <c r="O44" s="1">
        <f>SUMPRODUCT(NOT(ISBLANK(O$3:O$38))*(O$3:O$38=$AB$3:$AB$38))</f>
        <v>0</v>
      </c>
      <c r="P44" s="1">
        <f>SUMPRODUCT(NOT(ISBLANK(P$3:P$38))*(P$3:P$38=$W$3:$W$38))</f>
        <v>0</v>
      </c>
      <c r="Q44" s="1">
        <f>SUMPRODUCT(NOT(ISBLANK(Q$3:Q$38))*(Q$3:Q$38=$X$3:$X$38))</f>
        <v>0</v>
      </c>
      <c r="R44" s="1"/>
      <c r="S44" s="1">
        <f>SUMPRODUCT(NOT(ISBLANK(S$3:S$38))*(S$3:S$38=$Y$3:$Y$38))</f>
        <v>0</v>
      </c>
      <c r="T44" s="1">
        <f>SUMPRODUCT(NOT(ISBLANK(T$3:T$38))*(T$3:T$38=$Z$3:$Z$38))</f>
        <v>0</v>
      </c>
      <c r="U44" s="1">
        <f>SUMPRODUCT(NOT(ISBLANK(U$3:U$38))*(U$3:U$38=$AA$3:$AA$38))</f>
        <v>0</v>
      </c>
      <c r="V44" s="1">
        <f>SUMPRODUCT(NOT(ISBLANK(V$3:V$38))*(V$3:V$38=$AB$3:$AB$38))</f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 t="s">
        <v>41</v>
      </c>
      <c r="B45" s="1">
        <f>SUMPRODUCT(NOT(ISBLANK(B$3:B$38))*(B$3:B$38&lt;$AC$3:$AC$38))</f>
        <v>0</v>
      </c>
      <c r="C45" s="1">
        <f>SUMPRODUCT(NOT(ISBLANK(C$3:C$38))*(C$3:C$38&lt;$AD$3:$AD$38))</f>
        <v>0</v>
      </c>
      <c r="D45" s="1"/>
      <c r="E45" s="1">
        <f>SUMPRODUCT(NOT(ISBLANK(E$3:E$38))*(E$3:E$38&lt;$AE$3:$AE$38))</f>
        <v>0</v>
      </c>
      <c r="F45" s="1">
        <f>SUMPRODUCT(NOT(ISBLANK(F$3:F$38))*(F$3:F$38&lt;$AF$3:$AF$38))</f>
        <v>0</v>
      </c>
      <c r="G45" s="1">
        <f>SUMPRODUCT(NOT(ISBLANK(G$3:G$38))*(G$3:G$38&lt;$AG$3:$AG$38))</f>
        <v>0</v>
      </c>
      <c r="H45" s="1">
        <f>SUMPRODUCT(NOT(ISBLANK(H$3:H$38))*(H$3:H$38&lt;$AH$3:$AH$38))</f>
        <v>0</v>
      </c>
      <c r="I45" s="1">
        <f>SUMPRODUCT(NOT(ISBLANK(I$3:I$38))*(I$3:I$38&lt;$AC$3:$AC$38))</f>
        <v>0</v>
      </c>
      <c r="J45" s="1">
        <f>SUMPRODUCT(NOT(ISBLANK(J$3:J$38))*(J$3:J$38&lt;$AD$3:$AD$38))</f>
        <v>0</v>
      </c>
      <c r="K45" s="1"/>
      <c r="L45" s="1">
        <f>SUMPRODUCT(NOT(ISBLANK(L$3:L$38))*(L$3:L$38&lt;$AE$3:$AE$38))</f>
        <v>0</v>
      </c>
      <c r="M45" s="1">
        <f>SUMPRODUCT(NOT(ISBLANK(M$3:M$38))*(M$3:M$38&lt;$AF$3:$AF$38))</f>
        <v>0</v>
      </c>
      <c r="N45" s="1">
        <f>SUMPRODUCT(NOT(ISBLANK(N$3:N$38))*(N$3:N$38&lt;$AG$3:$AG$38))</f>
        <v>0</v>
      </c>
      <c r="O45" s="1">
        <f>SUMPRODUCT(NOT(ISBLANK(O$3:O$38))*(O$3:O$38&lt;$AH$3:$AH$38))</f>
        <v>0</v>
      </c>
      <c r="P45" s="1">
        <f>SUMPRODUCT(NOT(ISBLANK(P$3:P$38))*(P$3:P$38&lt;$AC$3:$AC$38))</f>
        <v>0</v>
      </c>
      <c r="Q45" s="1">
        <f>SUMPRODUCT(NOT(ISBLANK(Q$3:Q$38))*(Q$3:Q$38&lt;$AD$3:$AD$38))</f>
        <v>0</v>
      </c>
      <c r="R45" s="1"/>
      <c r="S45" s="1">
        <f>SUMPRODUCT(NOT(ISBLANK(S$3:S$38))*(S$3:S$38&lt;$AE$3:$AE$38))</f>
        <v>0</v>
      </c>
      <c r="T45" s="1">
        <f>SUMPRODUCT(NOT(ISBLANK(T$3:T$38))*(T$3:T$38&lt;$AF$3:$AF$38))</f>
        <v>0</v>
      </c>
      <c r="U45" s="1">
        <f>SUMPRODUCT(NOT(ISBLANK(U$3:U$38))*(U$3:U$38&lt;$AG$3:$AG$38))</f>
        <v>0</v>
      </c>
      <c r="V45" s="1">
        <f>SUMPRODUCT(NOT(ISBLANK(V$3:V$38))*(V$3:V$38&lt;$AH$3:$AH$38))</f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 t="s">
        <v>42</v>
      </c>
      <c r="B46" s="1">
        <f>SUMPRODUCT((NOT(ISBLANK(B$3:B$38))*(B$3:B$38&gt;$AC$3:$AC$38))+ISBLANK(B$3:B$38))</f>
        <v>0</v>
      </c>
      <c r="C46" s="1">
        <f>SUMPRODUCT((NOT(ISBLANK(C$3:C$38))*(C$3:C$38&gt;$AD$3:$AD$38))+ISBLANK(C$3:C$38))</f>
        <v>0</v>
      </c>
      <c r="D46" s="1"/>
      <c r="E46" s="1">
        <f>SUMPRODUCT((NOT(ISBLANK(E$3:E$38))*(E$3:E$38&gt;$AE$3:$AE$38))+ISBLANK(E$3:E$38))</f>
        <v>0</v>
      </c>
      <c r="F46" s="1">
        <f>SUMPRODUCT((NOT(ISBLANK(F$3:F$38))*(F$3:F$38&gt;$AF$3:$AF$38))+ISBLANK(F$3:F$38))</f>
        <v>0</v>
      </c>
      <c r="G46" s="1">
        <f>SUMPRODUCT((NOT(ISBLANK(G$3:G$38))*(G$3:G$38&gt;$AG$3:$AG$38))+ISBLANK(G$3:G$38))</f>
        <v>0</v>
      </c>
      <c r="H46" s="1">
        <f>SUMPRODUCT((NOT(ISBLANK(H$3:H$38))*(H$3:H$38&gt;$AH$3:$AH$38))+ISBLANK(H$3:H$38))</f>
        <v>0</v>
      </c>
      <c r="I46" s="1">
        <f>SUMPRODUCT((NOT(ISBLANK(I$3:I$38))*(I$3:I$38&gt;$AC$3:$AC$38))+ISBLANK(I$3:I$38))</f>
        <v>0</v>
      </c>
      <c r="J46" s="1">
        <f>SUMPRODUCT((NOT(ISBLANK(J$3:J$38))*(J$3:J$38&gt;$AD$3:$AD$38))+ISBLANK(J$3:J$38))</f>
        <v>0</v>
      </c>
      <c r="K46" s="1"/>
      <c r="L46" s="1">
        <f>SUMPRODUCT((NOT(ISBLANK(L$3:L$38))*(L$3:L$38&gt;$AE$3:$AE$38))+ISBLANK(L$3:L$38))</f>
        <v>0</v>
      </c>
      <c r="M46" s="1">
        <f>SUMPRODUCT((NOT(ISBLANK(M$3:M$38))*(M$3:M$38&gt;$AF$3:$AF$38))+ISBLANK(M$3:M$38))</f>
        <v>0</v>
      </c>
      <c r="N46" s="1">
        <f>SUMPRODUCT((NOT(ISBLANK(N$3:N$38))*(N$3:N$38&gt;$AG$3:$AG$38))+ISBLANK(N$3:N$38))</f>
        <v>0</v>
      </c>
      <c r="O46" s="1">
        <f>SUMPRODUCT((NOT(ISBLANK(O$3:O$38))*(O$3:O$38&gt;$AH$3:$AH$38))+ISBLANK(O$3:O$38))</f>
        <v>0</v>
      </c>
      <c r="P46" s="1">
        <f>SUMPRODUCT((NOT(ISBLANK(P$3:P$38))*(P$3:P$38&gt;$AC$3:$AC$38))+ISBLANK(P$3:P$38))</f>
        <v>0</v>
      </c>
      <c r="Q46" s="1">
        <f>SUMPRODUCT((NOT(ISBLANK(Q$3:Q$38))*(Q$3:Q$38&gt;$AD$3:$AD$38))+ISBLANK(Q$3:Q$38))</f>
        <v>0</v>
      </c>
      <c r="R46" s="1"/>
      <c r="S46" s="1">
        <f>SUMPRODUCT((NOT(ISBLANK(S$3:S$38))*(S$3:S$38&gt;$AE$3:$AE$38))+ISBLANK(S$3:S$38))</f>
        <v>0</v>
      </c>
      <c r="T46" s="1">
        <f>SUMPRODUCT((NOT(ISBLANK(T$3:T$38))*(T$3:T$38&gt;$AF$3:$AF$38))+ISBLANK(T$3:T$38))</f>
        <v>0</v>
      </c>
      <c r="U46" s="1">
        <f>SUMPRODUCT((NOT(ISBLANK(U$3:U$38))*(U$3:U$38&gt;$AG$3:$AG$38))+ISBLANK(U$3:U$38))</f>
        <v>0</v>
      </c>
      <c r="V46" s="1">
        <f>SUMPRODUCT((NOT(ISBLANK(V$3:V$38))*(V$3:V$38&gt;$AH$3:$AH$38))+ISBLANK(V$3:V$38))</f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 t="s">
        <v>43</v>
      </c>
      <c r="B47" s="1">
        <f>SUMPRODUCT((NOT(ISBLANK(B$3:B$38))*(B$3:B$38=$AI$3:$AI$38))+ISBLANK(B$3:B$38))</f>
        <v>0</v>
      </c>
      <c r="C47" s="1">
        <f>SUMPRODUCT((NOT(ISBLANK(C$3:C$38))*(C$3:C$38=$AJ$3:$AJ$38))+ISBLANK(C$3:C$38))</f>
        <v>0</v>
      </c>
      <c r="D47" s="1"/>
      <c r="E47" s="1">
        <f>SUMPRODUCT((NOT(ISBLANK(E$3:E$38))*(E$3:E$38=$AK$3:$AK$38))+ISBLANK(E$3:E$38))</f>
        <v>0</v>
      </c>
      <c r="F47" s="1">
        <f>SUMPRODUCT((NOT(ISBLANK(F$3:F$38))*(F$3:F$38=$AL$3:$AL$38))+ISBLANK(F$3:F$38))</f>
        <v>0</v>
      </c>
      <c r="G47" s="1">
        <f>SUMPRODUCT((NOT(ISBLANK(G$3:G$38))*(G$3:G$38=$AM$3:$AM$38))+ISBLANK(G$3:G$38))</f>
        <v>0</v>
      </c>
      <c r="H47" s="1">
        <f>SUMPRODUCT((NOT(ISBLANK(H$3:H$38))*(H$3:H$38=$AN$3:$AN$38))+ISBLANK(H$3:H$38))</f>
        <v>0</v>
      </c>
      <c r="I47" s="1">
        <f>SUMPRODUCT((NOT(ISBLANK(I$3:I$38))*(I$3:I$38=$AI$3:$AI$38))+ISBLANK(I$3:I$38))</f>
        <v>0</v>
      </c>
      <c r="J47" s="1">
        <f>SUMPRODUCT((NOT(ISBLANK(J$3:J$38))*(J$3:J$38=$AJ$3:$AJ$38))+ISBLANK(J$3:J$38))</f>
        <v>0</v>
      </c>
      <c r="K47" s="1"/>
      <c r="L47" s="1">
        <f>SUMPRODUCT((NOT(ISBLANK(L$3:L$38))*(L$3:L$38=$AK$3:$AK$38))+ISBLANK(L$3:L$38))</f>
        <v>0</v>
      </c>
      <c r="M47" s="1">
        <f>SUMPRODUCT((NOT(ISBLANK(M$3:M$38))*(M$3:M$38=$AL$3:$AL$38))+ISBLANK(M$3:M$38))</f>
        <v>0</v>
      </c>
      <c r="N47" s="1">
        <f>SUMPRODUCT((NOT(ISBLANK(N$3:N$38))*(N$3:N$38=$AM$3:$AM$38))+ISBLANK(N$3:N$38))</f>
        <v>0</v>
      </c>
      <c r="O47" s="1">
        <f>SUMPRODUCT((NOT(ISBLANK(O$3:O$38))*(O$3:O$38=$AN$3:$AN$38))+ISBLANK(O$3:O$38))</f>
        <v>0</v>
      </c>
      <c r="P47" s="1">
        <f>SUMPRODUCT((NOT(ISBLANK(P$3:P$38))*(P$3:P$38=$AI$3:$AI$38))+ISBLANK(P$3:P$38))</f>
        <v>0</v>
      </c>
      <c r="Q47" s="1">
        <f>SUMPRODUCT((NOT(ISBLANK(Q$3:Q$38))*(Q$3:Q$38=$AJ$3:$AJ$38))+ISBLANK(Q$3:Q$38))</f>
        <v>0</v>
      </c>
      <c r="R47" s="1"/>
      <c r="S47" s="1">
        <f>SUMPRODUCT((NOT(ISBLANK(S$3:S$38))*(S$3:S$38=$AK$3:$AK$38))+ISBLANK(S$3:S$38))</f>
        <v>0</v>
      </c>
      <c r="T47" s="1">
        <f>SUMPRODUCT((NOT(ISBLANK(T$3:T$38))*(T$3:T$38=$AL$3:$AL$38))+ISBLANK(T$3:T$38))</f>
        <v>0</v>
      </c>
      <c r="U47" s="1">
        <f>SUMPRODUCT((NOT(ISBLANK(U$3:U$38))*(U$3:U$38=$AM$3:$AM$38))+ISBLANK(U$3:U$38))</f>
        <v>0</v>
      </c>
      <c r="V47" s="1">
        <f>SUMPRODUCT((NOT(ISBLANK(V$3:V$38))*(V$3:V$38=$AN$3:$AN$38))+ISBLANK(V$3:V$38))</f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40" width="11.42578125" customWidth="1"/>
  </cols>
  <sheetData>
    <row r="1" spans="1:40">
      <c r="A1" s="1" t="s">
        <v>58</v>
      </c>
      <c r="B1" s="1" t="s">
        <v>44</v>
      </c>
      <c r="C1" s="1"/>
      <c r="D1" s="1"/>
      <c r="E1" s="1"/>
      <c r="F1" s="1"/>
      <c r="G1" s="1"/>
      <c r="H1" s="1"/>
      <c r="I1" s="1" t="s">
        <v>53</v>
      </c>
      <c r="J1" s="1"/>
      <c r="K1" s="1"/>
      <c r="L1" s="1"/>
      <c r="M1" s="1"/>
      <c r="N1" s="1"/>
      <c r="O1" s="1"/>
      <c r="P1" s="1" t="s">
        <v>54</v>
      </c>
      <c r="Q1" s="1"/>
      <c r="R1" s="1"/>
      <c r="S1" s="1"/>
      <c r="T1" s="1"/>
      <c r="U1" s="1"/>
      <c r="V1" s="1"/>
      <c r="W1" s="1" t="s">
        <v>55</v>
      </c>
      <c r="X1" s="1"/>
      <c r="Y1" s="1"/>
      <c r="Z1" s="1"/>
      <c r="AA1" s="1"/>
      <c r="AB1" s="1"/>
      <c r="AC1" s="1" t="s">
        <v>56</v>
      </c>
      <c r="AD1" s="1"/>
      <c r="AE1" s="1"/>
      <c r="AF1" s="1"/>
      <c r="AG1" s="1"/>
      <c r="AH1" s="1"/>
      <c r="AI1" s="1" t="s">
        <v>57</v>
      </c>
      <c r="AJ1" s="1"/>
      <c r="AK1" s="1"/>
      <c r="AL1" s="1"/>
      <c r="AM1" s="1"/>
      <c r="AN1" s="1"/>
    </row>
    <row r="2" spans="1:40">
      <c r="A2" s="2" t="s">
        <v>56</v>
      </c>
      <c r="B2" s="1" t="s">
        <v>45</v>
      </c>
      <c r="C2" s="1" t="s">
        <v>46</v>
      </c>
      <c r="D2" s="1" t="s">
        <v>47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45</v>
      </c>
      <c r="J2" s="1" t="s">
        <v>46</v>
      </c>
      <c r="K2" s="1" t="s">
        <v>47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45</v>
      </c>
      <c r="Q2" s="1" t="s">
        <v>46</v>
      </c>
      <c r="R2" s="1" t="s">
        <v>47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45</v>
      </c>
      <c r="X2" s="1" t="s">
        <v>46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45</v>
      </c>
      <c r="AD2" s="1" t="s">
        <v>46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45</v>
      </c>
      <c r="AJ2" s="1" t="s">
        <v>46</v>
      </c>
      <c r="AK2" s="1" t="s">
        <v>49</v>
      </c>
      <c r="AL2" s="1" t="s">
        <v>50</v>
      </c>
      <c r="AM2" s="1" t="s">
        <v>51</v>
      </c>
      <c r="AN2" s="1" t="s">
        <v>52</v>
      </c>
    </row>
    <row r="3" spans="1:4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/>
      <c r="K7" s="1"/>
      <c r="L7" s="1"/>
      <c r="M7" s="1"/>
      <c r="N7" s="1"/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/>
      <c r="D8" s="1"/>
      <c r="E8" s="1"/>
      <c r="F8" s="1"/>
      <c r="G8" s="1"/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/>
      <c r="D9" s="1"/>
      <c r="E9" s="1"/>
      <c r="F9" s="1"/>
      <c r="G9" s="1"/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/>
      <c r="D10" s="1"/>
      <c r="E10" s="1"/>
      <c r="F10" s="1"/>
      <c r="G10" s="1"/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/>
      <c r="K11" s="1"/>
      <c r="L11" s="1"/>
      <c r="M11" s="1"/>
      <c r="N11" s="1"/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/>
      <c r="D13" s="1"/>
      <c r="E13" s="1"/>
      <c r="F13" s="1"/>
      <c r="G13" s="1"/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/>
      <c r="L13" s="1" cm="1">
        <f t="array" ref="L13">_xlfn.SWITCH($A$2,"average", AVERAGE(Instances!L13:Instances!L13),"median", MEDIAN(Instances!L13:Instances!L13),"min", MIN(Instances!L13:Instances!L13),"max", MAX(Instances!L13:Instances!L13),"diff", MAX(Instances!L13:Instances!L13)-MIN(Instances!L13:Instances!L13))</f>
        <v>0</v>
      </c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 cm="1">
        <f t="array" ref="O13">_xlfn.SWITCH($A$2,"average", AVERAGE(Instances!O13:Instances!O13),"median", MEDIAN(Instances!O13:Instances!O13),"min", MIN(Instances!O13:Instances!O13),"max", MAX(Instances!O13:Instances!O13),"diff", MAX(Instances!O13:Instances!O13)-MIN(Instances!O13:Instances!O13))</f>
        <v>0</v>
      </c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/>
      <c r="S13" s="1" cm="1">
        <f t="array" ref="S13">_xlfn.SWITCH($A$2,"average", AVERAGE(Instances!S13:Instances!S13),"median", MEDIAN(Instances!S13:Instances!S13),"min", MIN(Instances!S13:Instances!S13),"max", MAX(Instances!S13:Instances!S13),"diff", MAX(Instances!S13:Instances!S13)-MIN(Instances!S13:Instances!S13))</f>
        <v>0</v>
      </c>
      <c r="T13" s="1" cm="1">
        <f t="array" ref="T13">_xlfn.SWITCH($A$2,"average", AVERAGE(Instances!T13:Instances!T13),"median", MEDIAN(Instances!T13:Instances!T13),"min", MIN(Instances!T13:Instances!T13),"max", MAX(Instances!T13:Instances!T13),"diff", MAX(Instances!T13:Instances!T13)-MIN(Instances!T13:Instances!T13))</f>
        <v>0</v>
      </c>
      <c r="U13" s="1" cm="1">
        <f t="array" ref="U13">_xlfn.SWITCH($A$2,"average", AVERAGE(Instances!U13:Instances!U13),"median", MEDIAN(Instances!U13:Instances!U13),"min", MIN(Instances!U13:Instances!U13),"max", MAX(Instances!U13:Instances!U13),"diff", MAX(Instances!U13:Instances!U13)-MIN(Instances!U13:Instances!U13))</f>
        <v>0</v>
      </c>
      <c r="V13" s="1" cm="1">
        <f t="array" ref="V13">_xlfn.SWITCH($A$2,"average", AVERAGE(Instances!V13:Instances!V13),"median", MEDIAN(Instances!V13:Instances!V13),"min", MIN(Instances!V13:Instances!V13),"max", MAX(Instances!V13:Instances!V13),"diff", MAX(Instances!V13:Instances!V13)-MIN(Instances!V13:Instances!V13))</f>
        <v>0</v>
      </c>
      <c r="W13" s="1">
        <f>MIN($B13,$I13,$P13)</f>
        <v>0</v>
      </c>
      <c r="X13" s="1">
        <f>MIN($C13,$J13,$Q13)</f>
        <v>0</v>
      </c>
      <c r="Y13" s="1">
        <f>MIN($E13,$L13,$S13)</f>
        <v>0</v>
      </c>
      <c r="Z13" s="1">
        <f>MIN($F13,$M13,$T13)</f>
        <v>0</v>
      </c>
      <c r="AA13" s="1">
        <f>MIN($G13,$N13,$U13)</f>
        <v>0</v>
      </c>
      <c r="AB13" s="1">
        <f>MIN($H13,$O13,$V13)</f>
        <v>0</v>
      </c>
      <c r="AC13" s="1">
        <f>MEDIAN($B13,$I13,$P13)</f>
        <v>0</v>
      </c>
      <c r="AD13" s="1">
        <f>MEDIAN($C13,$J13,$Q13)</f>
        <v>0</v>
      </c>
      <c r="AE13" s="1">
        <f>MEDIAN($E13,$L13,$S13)</f>
        <v>0</v>
      </c>
      <c r="AF13" s="1">
        <f>MEDIAN($F13,$M13,$T13)</f>
        <v>0</v>
      </c>
      <c r="AG13" s="1">
        <f>MEDIAN($G13,$N13,$U13)</f>
        <v>0</v>
      </c>
      <c r="AH13" s="1">
        <f>MEDIAN($H13,$O13,$V13)</f>
        <v>0</v>
      </c>
      <c r="AI13" s="1">
        <f>MAX($B13,$I13,$P13)</f>
        <v>0</v>
      </c>
      <c r="AJ13" s="1">
        <f>MAX($C13,$J13,$Q13)</f>
        <v>0</v>
      </c>
      <c r="AK13" s="1">
        <f>MAX($E13,$L13,$S13)</f>
        <v>0</v>
      </c>
      <c r="AL13" s="1">
        <f>MAX($F13,$M13,$T13)</f>
        <v>0</v>
      </c>
      <c r="AM13" s="1">
        <f>MAX($G13,$N13,$U13)</f>
        <v>0</v>
      </c>
      <c r="AN13" s="1">
        <f>MAX($H13,$O13,$V13)</f>
        <v>0</v>
      </c>
    </row>
    <row r="14" spans="1:40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/>
      <c r="D14" s="1"/>
      <c r="E14" s="1"/>
      <c r="F14" s="1"/>
      <c r="G14" s="1"/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/>
      <c r="L14" s="1" cm="1">
        <f t="array" ref="L14">_xlfn.SWITCH($A$2,"average", AVERAGE(Instances!L14:Instances!L14),"median", MEDIAN(Instances!L14:Instances!L14),"min", MIN(Instances!L14:Instances!L14),"max", MAX(Instances!L14:Instances!L14),"diff", MAX(Instances!L14:Instances!L14)-MIN(Instances!L14:Instances!L14))</f>
        <v>0</v>
      </c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 cm="1">
        <f t="array" ref="O14">_xlfn.SWITCH($A$2,"average", AVERAGE(Instances!O14:Instances!O14),"median", MEDIAN(Instances!O14:Instances!O14),"min", MIN(Instances!O14:Instances!O14),"max", MAX(Instances!O14:Instances!O14),"diff", MAX(Instances!O14:Instances!O14)-MIN(Instances!O14:Instances!O14))</f>
        <v>0</v>
      </c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/>
      <c r="S14" s="1" cm="1">
        <f t="array" ref="S14">_xlfn.SWITCH($A$2,"average", AVERAGE(Instances!S14:Instances!S14),"median", MEDIAN(Instances!S14:Instances!S14),"min", MIN(Instances!S14:Instances!S14),"max", MAX(Instances!S14:Instances!S14),"diff", MAX(Instances!S14:Instances!S14)-MIN(Instances!S14:Instances!S14))</f>
        <v>0</v>
      </c>
      <c r="T14" s="1" cm="1">
        <f t="array" ref="T14">_xlfn.SWITCH($A$2,"average", AVERAGE(Instances!T14:Instances!T14),"median", MEDIAN(Instances!T14:Instances!T14),"min", MIN(Instances!T14:Instances!T14),"max", MAX(Instances!T14:Instances!T14),"diff", MAX(Instances!T14:Instances!T14)-MIN(Instances!T14:Instances!T14))</f>
        <v>0</v>
      </c>
      <c r="U14" s="1" cm="1">
        <f t="array" ref="U14">_xlfn.SWITCH($A$2,"average", AVERAGE(Instances!U14:Instances!U14),"median", MEDIAN(Instances!U14:Instances!U14),"min", MIN(Instances!U14:Instances!U14),"max", MAX(Instances!U14:Instances!U14),"diff", MAX(Instances!U14:Instances!U14)-MIN(Instances!U14:Instances!U14))</f>
        <v>0</v>
      </c>
      <c r="V14" s="1" cm="1">
        <f t="array" ref="V14">_xlfn.SWITCH($A$2,"average", AVERAGE(Instances!V14:Instances!V14),"median", MEDIAN(Instances!V14:Instances!V14),"min", MIN(Instances!V14:Instances!V14),"max", MAX(Instances!V14:Instances!V14),"diff", MAX(Instances!V14:Instances!V14)-MIN(Instances!V14:Instances!V14))</f>
        <v>0</v>
      </c>
      <c r="W14" s="1">
        <f>MIN($B14,$I14,$P14)</f>
        <v>0</v>
      </c>
      <c r="X14" s="1">
        <f>MIN($C14,$J14,$Q14)</f>
        <v>0</v>
      </c>
      <c r="Y14" s="1">
        <f>MIN($E14,$L14,$S14)</f>
        <v>0</v>
      </c>
      <c r="Z14" s="1">
        <f>MIN($F14,$M14,$T14)</f>
        <v>0</v>
      </c>
      <c r="AA14" s="1">
        <f>MIN($G14,$N14,$U14)</f>
        <v>0</v>
      </c>
      <c r="AB14" s="1">
        <f>MIN($H14,$O14,$V14)</f>
        <v>0</v>
      </c>
      <c r="AC14" s="1">
        <f>MEDIAN($B14,$I14,$P14)</f>
        <v>0</v>
      </c>
      <c r="AD14" s="1">
        <f>MEDIAN($C14,$J14,$Q14)</f>
        <v>0</v>
      </c>
      <c r="AE14" s="1">
        <f>MEDIAN($E14,$L14,$S14)</f>
        <v>0</v>
      </c>
      <c r="AF14" s="1">
        <f>MEDIAN($F14,$M14,$T14)</f>
        <v>0</v>
      </c>
      <c r="AG14" s="1">
        <f>MEDIAN($G14,$N14,$U14)</f>
        <v>0</v>
      </c>
      <c r="AH14" s="1">
        <f>MEDIAN($H14,$O14,$V14)</f>
        <v>0</v>
      </c>
      <c r="AI14" s="1">
        <f>MAX($B14,$I14,$P14)</f>
        <v>0</v>
      </c>
      <c r="AJ14" s="1">
        <f>MAX($C14,$J14,$Q14)</f>
        <v>0</v>
      </c>
      <c r="AK14" s="1">
        <f>MAX($E14,$L14,$S14)</f>
        <v>0</v>
      </c>
      <c r="AL14" s="1">
        <f>MAX($F14,$M14,$T14)</f>
        <v>0</v>
      </c>
      <c r="AM14" s="1">
        <f>MAX($G14,$N14,$U14)</f>
        <v>0</v>
      </c>
      <c r="AN14" s="1">
        <f>MAX($H14,$O14,$V14)</f>
        <v>0</v>
      </c>
    </row>
    <row r="15" spans="1:40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/>
      <c r="D15" s="1"/>
      <c r="E15" s="1"/>
      <c r="F15" s="1"/>
      <c r="G15" s="1"/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/>
      <c r="K15" s="1"/>
      <c r="L15" s="1"/>
      <c r="M15" s="1"/>
      <c r="N15" s="1"/>
      <c r="O15" s="1" cm="1">
        <f t="array" ref="O15">_xlfn.SWITCH($A$2,"average", AVERAGE(Instances!O15:Instances!O15),"median", MEDIAN(Instances!O15:Instances!O15),"min", MIN(Instances!O15:Instances!O15),"max", MAX(Instances!O15:Instances!O15),"diff", MAX(Instances!O15:Instances!O15)-MIN(Instances!O15:Instances!O15))</f>
        <v>0</v>
      </c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/>
      <c r="S15" s="1" cm="1">
        <f t="array" ref="S15">_xlfn.SWITCH($A$2,"average", AVERAGE(Instances!S15:Instances!S15),"median", MEDIAN(Instances!S15:Instances!S15),"min", MIN(Instances!S15:Instances!S15),"max", MAX(Instances!S15:Instances!S15),"diff", MAX(Instances!S15:Instances!S15)-MIN(Instances!S15:Instances!S15))</f>
        <v>0</v>
      </c>
      <c r="T15" s="1" cm="1">
        <f t="array" ref="T15">_xlfn.SWITCH($A$2,"average", AVERAGE(Instances!T15:Instances!T15),"median", MEDIAN(Instances!T15:Instances!T15),"min", MIN(Instances!T15:Instances!T15),"max", MAX(Instances!T15:Instances!T15),"diff", MAX(Instances!T15:Instances!T15)-MIN(Instances!T15:Instances!T15))</f>
        <v>0</v>
      </c>
      <c r="U15" s="1" cm="1">
        <f t="array" ref="U15">_xlfn.SWITCH($A$2,"average", AVERAGE(Instances!U15:Instances!U15),"median", MEDIAN(Instances!U15:Instances!U15),"min", MIN(Instances!U15:Instances!U15),"max", MAX(Instances!U15:Instances!U15),"diff", MAX(Instances!U15:Instances!U15)-MIN(Instances!U15:Instances!U15))</f>
        <v>0</v>
      </c>
      <c r="V15" s="1" cm="1">
        <f t="array" ref="V15">_xlfn.SWITCH($A$2,"average", AVERAGE(Instances!V15:Instances!V15),"median", MEDIAN(Instances!V15:Instances!V15),"min", MIN(Instances!V15:Instances!V15),"max", MAX(Instances!V15:Instances!V15),"diff", MAX(Instances!V15:Instances!V15)-MIN(Instances!V15:Instances!V15))</f>
        <v>0</v>
      </c>
      <c r="W15" s="1">
        <f>MIN($B15,$I15,$P15)</f>
        <v>0</v>
      </c>
      <c r="X15" s="1">
        <f>MIN($C15,$J15,$Q15)</f>
        <v>0</v>
      </c>
      <c r="Y15" s="1">
        <f>MIN($E15,$L15,$S15)</f>
        <v>0</v>
      </c>
      <c r="Z15" s="1">
        <f>MIN($F15,$M15,$T15)</f>
        <v>0</v>
      </c>
      <c r="AA15" s="1">
        <f>MIN($G15,$N15,$U15)</f>
        <v>0</v>
      </c>
      <c r="AB15" s="1">
        <f>MIN($H15,$O15,$V15)</f>
        <v>0</v>
      </c>
      <c r="AC15" s="1">
        <f>MEDIAN($B15,$I15,$P15)</f>
        <v>0</v>
      </c>
      <c r="AD15" s="1">
        <f>MEDIAN($C15,$J15,$Q15)</f>
        <v>0</v>
      </c>
      <c r="AE15" s="1">
        <f>MEDIAN($E15,$L15,$S15)</f>
        <v>0</v>
      </c>
      <c r="AF15" s="1">
        <f>MEDIAN($F15,$M15,$T15)</f>
        <v>0</v>
      </c>
      <c r="AG15" s="1">
        <f>MEDIAN($G15,$N15,$U15)</f>
        <v>0</v>
      </c>
      <c r="AH15" s="1">
        <f>MEDIAN($H15,$O15,$V15)</f>
        <v>0</v>
      </c>
      <c r="AI15" s="1">
        <f>MAX($B15,$I15,$P15)</f>
        <v>0</v>
      </c>
      <c r="AJ15" s="1">
        <f>MAX($C15,$J15,$Q15)</f>
        <v>0</v>
      </c>
      <c r="AK15" s="1">
        <f>MAX($E15,$L15,$S15)</f>
        <v>0</v>
      </c>
      <c r="AL15" s="1">
        <f>MAX($F15,$M15,$T15)</f>
        <v>0</v>
      </c>
      <c r="AM15" s="1">
        <f>MAX($G15,$N15,$U15)</f>
        <v>0</v>
      </c>
      <c r="AN15" s="1">
        <f>MAX($H15,$O15,$V15)</f>
        <v>0</v>
      </c>
    </row>
    <row r="16" spans="1:40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/>
      <c r="D16" s="1"/>
      <c r="E16" s="1"/>
      <c r="F16" s="1"/>
      <c r="G16" s="1"/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/>
      <c r="L16" s="1" cm="1">
        <f t="array" ref="L16">_xlfn.SWITCH($A$2,"average", AVERAGE(Instances!L16:Instances!L16),"median", MEDIAN(Instances!L16:Instances!L16),"min", MIN(Instances!L16:Instances!L16),"max", MAX(Instances!L16:Instances!L16),"diff", MAX(Instances!L16:Instances!L16)-MIN(Instances!L16:Instances!L16))</f>
        <v>0</v>
      </c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 cm="1">
        <f t="array" ref="O16">_xlfn.SWITCH($A$2,"average", AVERAGE(Instances!O16:Instances!O16),"median", MEDIAN(Instances!O16:Instances!O16),"min", MIN(Instances!O16:Instances!O16),"max", MAX(Instances!O16:Instances!O16),"diff", MAX(Instances!O16:Instances!O16)-MIN(Instances!O16:Instances!O16))</f>
        <v>0</v>
      </c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/>
      <c r="S16" s="1" cm="1">
        <f t="array" ref="S16">_xlfn.SWITCH($A$2,"average", AVERAGE(Instances!S16:Instances!S16),"median", MEDIAN(Instances!S16:Instances!S16),"min", MIN(Instances!S16:Instances!S16),"max", MAX(Instances!S16:Instances!S16),"diff", MAX(Instances!S16:Instances!S16)-MIN(Instances!S16:Instances!S16))</f>
        <v>0</v>
      </c>
      <c r="T16" s="1" cm="1">
        <f t="array" ref="T16">_xlfn.SWITCH($A$2,"average", AVERAGE(Instances!T16:Instances!T16),"median", MEDIAN(Instances!T16:Instances!T16),"min", MIN(Instances!T16:Instances!T16),"max", MAX(Instances!T16:Instances!T16),"diff", MAX(Instances!T16:Instances!T16)-MIN(Instances!T16:Instances!T16))</f>
        <v>0</v>
      </c>
      <c r="U16" s="1" cm="1">
        <f t="array" ref="U16">_xlfn.SWITCH($A$2,"average", AVERAGE(Instances!U16:Instances!U16),"median", MEDIAN(Instances!U16:Instances!U16),"min", MIN(Instances!U16:Instances!U16),"max", MAX(Instances!U16:Instances!U16),"diff", MAX(Instances!U16:Instances!U16)-MIN(Instances!U16:Instances!U16))</f>
        <v>0</v>
      </c>
      <c r="V16" s="1" cm="1">
        <f t="array" ref="V16">_xlfn.SWITCH($A$2,"average", AVERAGE(Instances!V16:Instances!V16),"median", MEDIAN(Instances!V16:Instances!V16),"min", MIN(Instances!V16:Instances!V16),"max", MAX(Instances!V16:Instances!V16),"diff", MAX(Instances!V16:Instances!V16)-MIN(Instances!V16:Instances!V16))</f>
        <v>0</v>
      </c>
      <c r="W16" s="1">
        <f>MIN($B16,$I16,$P16)</f>
        <v>0</v>
      </c>
      <c r="X16" s="1">
        <f>MIN($C16,$J16,$Q16)</f>
        <v>0</v>
      </c>
      <c r="Y16" s="1">
        <f>MIN($E16,$L16,$S16)</f>
        <v>0</v>
      </c>
      <c r="Z16" s="1">
        <f>MIN($F16,$M16,$T16)</f>
        <v>0</v>
      </c>
      <c r="AA16" s="1">
        <f>MIN($G16,$N16,$U16)</f>
        <v>0</v>
      </c>
      <c r="AB16" s="1">
        <f>MIN($H16,$O16,$V16)</f>
        <v>0</v>
      </c>
      <c r="AC16" s="1">
        <f>MEDIAN($B16,$I16,$P16)</f>
        <v>0</v>
      </c>
      <c r="AD16" s="1">
        <f>MEDIAN($C16,$J16,$Q16)</f>
        <v>0</v>
      </c>
      <c r="AE16" s="1">
        <f>MEDIAN($E16,$L16,$S16)</f>
        <v>0</v>
      </c>
      <c r="AF16" s="1">
        <f>MEDIAN($F16,$M16,$T16)</f>
        <v>0</v>
      </c>
      <c r="AG16" s="1">
        <f>MEDIAN($G16,$N16,$U16)</f>
        <v>0</v>
      </c>
      <c r="AH16" s="1">
        <f>MEDIAN($H16,$O16,$V16)</f>
        <v>0</v>
      </c>
      <c r="AI16" s="1">
        <f>MAX($B16,$I16,$P16)</f>
        <v>0</v>
      </c>
      <c r="AJ16" s="1">
        <f>MAX($C16,$J16,$Q16)</f>
        <v>0</v>
      </c>
      <c r="AK16" s="1">
        <f>MAX($E16,$L16,$S16)</f>
        <v>0</v>
      </c>
      <c r="AL16" s="1">
        <f>MAX($F16,$M16,$T16)</f>
        <v>0</v>
      </c>
      <c r="AM16" s="1">
        <f>MAX($G16,$N16,$U16)</f>
        <v>0</v>
      </c>
      <c r="AN16" s="1">
        <f>MAX($H16,$O16,$V16)</f>
        <v>0</v>
      </c>
    </row>
    <row r="17" spans="1:40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/>
      <c r="D17" s="1"/>
      <c r="E17" s="1"/>
      <c r="F17" s="1"/>
      <c r="G17" s="1"/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/>
      <c r="L17" s="1" cm="1">
        <f t="array" ref="L17">_xlfn.SWITCH($A$2,"average", AVERAGE(Instances!L17:Instances!L17),"median", MEDIAN(Instances!L17:Instances!L17),"min", MIN(Instances!L17:Instances!L17),"max", MAX(Instances!L17:Instances!L17),"diff", MAX(Instances!L17:Instances!L17)-MIN(Instances!L17:Instances!L17))</f>
        <v>0</v>
      </c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 cm="1">
        <f t="array" ref="O17">_xlfn.SWITCH($A$2,"average", AVERAGE(Instances!O17:Instances!O17),"median", MEDIAN(Instances!O17:Instances!O17),"min", MIN(Instances!O17:Instances!O17),"max", MAX(Instances!O17:Instances!O17),"diff", MAX(Instances!O17:Instances!O17)-MIN(Instances!O17:Instances!O17))</f>
        <v>0</v>
      </c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/>
      <c r="S17" s="1" cm="1">
        <f t="array" ref="S17">_xlfn.SWITCH($A$2,"average", AVERAGE(Instances!S17:Instances!S17),"median", MEDIAN(Instances!S17:Instances!S17),"min", MIN(Instances!S17:Instances!S17),"max", MAX(Instances!S17:Instances!S17),"diff", MAX(Instances!S17:Instances!S17)-MIN(Instances!S17:Instances!S17))</f>
        <v>0</v>
      </c>
      <c r="T17" s="1" cm="1">
        <f t="array" ref="T17">_xlfn.SWITCH($A$2,"average", AVERAGE(Instances!T17:Instances!T17),"median", MEDIAN(Instances!T17:Instances!T17),"min", MIN(Instances!T17:Instances!T17),"max", MAX(Instances!T17:Instances!T17),"diff", MAX(Instances!T17:Instances!T17)-MIN(Instances!T17:Instances!T17))</f>
        <v>0</v>
      </c>
      <c r="U17" s="1" cm="1">
        <f t="array" ref="U17">_xlfn.SWITCH($A$2,"average", AVERAGE(Instances!U17:Instances!U17),"median", MEDIAN(Instances!U17:Instances!U17),"min", MIN(Instances!U17:Instances!U17),"max", MAX(Instances!U17:Instances!U17),"diff", MAX(Instances!U17:Instances!U17)-MIN(Instances!U17:Instances!U17))</f>
        <v>0</v>
      </c>
      <c r="V17" s="1" cm="1">
        <f t="array" ref="V17">_xlfn.SWITCH($A$2,"average", AVERAGE(Instances!V17:Instances!V17),"median", MEDIAN(Instances!V17:Instances!V17),"min", MIN(Instances!V17:Instances!V17),"max", MAX(Instances!V17:Instances!V17),"diff", MAX(Instances!V17:Instances!V17)-MIN(Instances!V17:Instances!V17))</f>
        <v>0</v>
      </c>
      <c r="W17" s="1">
        <f>MIN($B17,$I17,$P17)</f>
        <v>0</v>
      </c>
      <c r="X17" s="1">
        <f>MIN($C17,$J17,$Q17)</f>
        <v>0</v>
      </c>
      <c r="Y17" s="1">
        <f>MIN($E17,$L17,$S17)</f>
        <v>0</v>
      </c>
      <c r="Z17" s="1">
        <f>MIN($F17,$M17,$T17)</f>
        <v>0</v>
      </c>
      <c r="AA17" s="1">
        <f>MIN($G17,$N17,$U17)</f>
        <v>0</v>
      </c>
      <c r="AB17" s="1">
        <f>MIN($H17,$O17,$V17)</f>
        <v>0</v>
      </c>
      <c r="AC17" s="1">
        <f>MEDIAN($B17,$I17,$P17)</f>
        <v>0</v>
      </c>
      <c r="AD17" s="1">
        <f>MEDIAN($C17,$J17,$Q17)</f>
        <v>0</v>
      </c>
      <c r="AE17" s="1">
        <f>MEDIAN($E17,$L17,$S17)</f>
        <v>0</v>
      </c>
      <c r="AF17" s="1">
        <f>MEDIAN($F17,$M17,$T17)</f>
        <v>0</v>
      </c>
      <c r="AG17" s="1">
        <f>MEDIAN($G17,$N17,$U17)</f>
        <v>0</v>
      </c>
      <c r="AH17" s="1">
        <f>MEDIAN($H17,$O17,$V17)</f>
        <v>0</v>
      </c>
      <c r="AI17" s="1">
        <f>MAX($B17,$I17,$P17)</f>
        <v>0</v>
      </c>
      <c r="AJ17" s="1">
        <f>MAX($C17,$J17,$Q17)</f>
        <v>0</v>
      </c>
      <c r="AK17" s="1">
        <f>MAX($E17,$L17,$S17)</f>
        <v>0</v>
      </c>
      <c r="AL17" s="1">
        <f>MAX($F17,$M17,$T17)</f>
        <v>0</v>
      </c>
      <c r="AM17" s="1">
        <f>MAX($G17,$N17,$U17)</f>
        <v>0</v>
      </c>
      <c r="AN17" s="1">
        <f>MAX($H17,$O17,$V17)</f>
        <v>0</v>
      </c>
    </row>
    <row r="18" spans="1:40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/>
      <c r="D18" s="1"/>
      <c r="E18" s="1"/>
      <c r="F18" s="1"/>
      <c r="G18" s="1"/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/>
      <c r="K18" s="1"/>
      <c r="L18" s="1"/>
      <c r="M18" s="1"/>
      <c r="N18" s="1"/>
      <c r="O18" s="1" cm="1">
        <f t="array" ref="O18">_xlfn.SWITCH($A$2,"average", AVERAGE(Instances!O18:Instances!O18),"median", MEDIAN(Instances!O18:Instances!O18),"min", MIN(Instances!O18:Instances!O18),"max", MAX(Instances!O18:Instances!O18),"diff", MAX(Instances!O18:Instances!O18)-MIN(Instances!O18:Instances!O18))</f>
        <v>0</v>
      </c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/>
      <c r="S18" s="1" cm="1">
        <f t="array" ref="S18">_xlfn.SWITCH($A$2,"average", AVERAGE(Instances!S18:Instances!S18),"median", MEDIAN(Instances!S18:Instances!S18),"min", MIN(Instances!S18:Instances!S18),"max", MAX(Instances!S18:Instances!S18),"diff", MAX(Instances!S18:Instances!S18)-MIN(Instances!S18:Instances!S18))</f>
        <v>0</v>
      </c>
      <c r="T18" s="1" cm="1">
        <f t="array" ref="T18">_xlfn.SWITCH($A$2,"average", AVERAGE(Instances!T18:Instances!T18),"median", MEDIAN(Instances!T18:Instances!T18),"min", MIN(Instances!T18:Instances!T18),"max", MAX(Instances!T18:Instances!T18),"diff", MAX(Instances!T18:Instances!T18)-MIN(Instances!T18:Instances!T18))</f>
        <v>0</v>
      </c>
      <c r="U18" s="1" cm="1">
        <f t="array" ref="U18">_xlfn.SWITCH($A$2,"average", AVERAGE(Instances!U18:Instances!U18),"median", MEDIAN(Instances!U18:Instances!U18),"min", MIN(Instances!U18:Instances!U18),"max", MAX(Instances!U18:Instances!U18),"diff", MAX(Instances!U18:Instances!U18)-MIN(Instances!U18:Instances!U18))</f>
        <v>0</v>
      </c>
      <c r="V18" s="1" cm="1">
        <f t="array" ref="V18">_xlfn.SWITCH($A$2,"average", AVERAGE(Instances!V18:Instances!V18),"median", MEDIAN(Instances!V18:Instances!V18),"min", MIN(Instances!V18:Instances!V18),"max", MAX(Instances!V18:Instances!V18),"diff", MAX(Instances!V18:Instances!V18)-MIN(Instances!V18:Instances!V18))</f>
        <v>0</v>
      </c>
      <c r="W18" s="1">
        <f>MIN($B18,$I18,$P18)</f>
        <v>0</v>
      </c>
      <c r="X18" s="1">
        <f>MIN($C18,$J18,$Q18)</f>
        <v>0</v>
      </c>
      <c r="Y18" s="1">
        <f>MIN($E18,$L18,$S18)</f>
        <v>0</v>
      </c>
      <c r="Z18" s="1">
        <f>MIN($F18,$M18,$T18)</f>
        <v>0</v>
      </c>
      <c r="AA18" s="1">
        <f>MIN($G18,$N18,$U18)</f>
        <v>0</v>
      </c>
      <c r="AB18" s="1">
        <f>MIN($H18,$O18,$V18)</f>
        <v>0</v>
      </c>
      <c r="AC18" s="1">
        <f>MEDIAN($B18,$I18,$P18)</f>
        <v>0</v>
      </c>
      <c r="AD18" s="1">
        <f>MEDIAN($C18,$J18,$Q18)</f>
        <v>0</v>
      </c>
      <c r="AE18" s="1">
        <f>MEDIAN($E18,$L18,$S18)</f>
        <v>0</v>
      </c>
      <c r="AF18" s="1">
        <f>MEDIAN($F18,$M18,$T18)</f>
        <v>0</v>
      </c>
      <c r="AG18" s="1">
        <f>MEDIAN($G18,$N18,$U18)</f>
        <v>0</v>
      </c>
      <c r="AH18" s="1">
        <f>MEDIAN($H18,$O18,$V18)</f>
        <v>0</v>
      </c>
      <c r="AI18" s="1">
        <f>MAX($B18,$I18,$P18)</f>
        <v>0</v>
      </c>
      <c r="AJ18" s="1">
        <f>MAX($C18,$J18,$Q18)</f>
        <v>0</v>
      </c>
      <c r="AK18" s="1">
        <f>MAX($E18,$L18,$S18)</f>
        <v>0</v>
      </c>
      <c r="AL18" s="1">
        <f>MAX($F18,$M18,$T18)</f>
        <v>0</v>
      </c>
      <c r="AM18" s="1">
        <f>MAX($G18,$N18,$U18)</f>
        <v>0</v>
      </c>
      <c r="AN18" s="1">
        <f>MAX($H18,$O18,$V18)</f>
        <v>0</v>
      </c>
    </row>
    <row r="19" spans="1:40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/>
      <c r="D19" s="1"/>
      <c r="E19" s="1"/>
      <c r="F19" s="1"/>
      <c r="G19" s="1"/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/>
      <c r="K19" s="1"/>
      <c r="L19" s="1"/>
      <c r="M19" s="1"/>
      <c r="N19" s="1"/>
      <c r="O19" s="1" cm="1">
        <f t="array" ref="O19">_xlfn.SWITCH($A$2,"average", AVERAGE(Instances!O19:Instances!O19),"median", MEDIAN(Instances!O19:Instances!O19),"min", MIN(Instances!O19:Instances!O19),"max", MAX(Instances!O19:Instances!O19),"diff", MAX(Instances!O19:Instances!O19)-MIN(Instances!O19:Instances!O19))</f>
        <v>0</v>
      </c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/>
      <c r="S19" s="1" cm="1">
        <f t="array" ref="S19">_xlfn.SWITCH($A$2,"average", AVERAGE(Instances!S19:Instances!S19),"median", MEDIAN(Instances!S19:Instances!S19),"min", MIN(Instances!S19:Instances!S19),"max", MAX(Instances!S19:Instances!S19),"diff", MAX(Instances!S19:Instances!S19)-MIN(Instances!S19:Instances!S19))</f>
        <v>0</v>
      </c>
      <c r="T19" s="1" cm="1">
        <f t="array" ref="T19">_xlfn.SWITCH($A$2,"average", AVERAGE(Instances!T19:Instances!T19),"median", MEDIAN(Instances!T19:Instances!T19),"min", MIN(Instances!T19:Instances!T19),"max", MAX(Instances!T19:Instances!T19),"diff", MAX(Instances!T19:Instances!T19)-MIN(Instances!T19:Instances!T19))</f>
        <v>0</v>
      </c>
      <c r="U19" s="1" cm="1">
        <f t="array" ref="U19">_xlfn.SWITCH($A$2,"average", AVERAGE(Instances!U19:Instances!U19),"median", MEDIAN(Instances!U19:Instances!U19),"min", MIN(Instances!U19:Instances!U19),"max", MAX(Instances!U19:Instances!U19),"diff", MAX(Instances!U19:Instances!U19)-MIN(Instances!U19:Instances!U19))</f>
        <v>0</v>
      </c>
      <c r="V19" s="1" cm="1">
        <f t="array" ref="V19">_xlfn.SWITCH($A$2,"average", AVERAGE(Instances!V19:Instances!V19),"median", MEDIAN(Instances!V19:Instances!V19),"min", MIN(Instances!V19:Instances!V19),"max", MAX(Instances!V19:Instances!V19),"diff", MAX(Instances!V19:Instances!V19)-MIN(Instances!V19:Instances!V19))</f>
        <v>0</v>
      </c>
      <c r="W19" s="1">
        <f>MIN($B19,$I19,$P19)</f>
        <v>0</v>
      </c>
      <c r="X19" s="1">
        <f>MIN($C19,$J19,$Q19)</f>
        <v>0</v>
      </c>
      <c r="Y19" s="1">
        <f>MIN($E19,$L19,$S19)</f>
        <v>0</v>
      </c>
      <c r="Z19" s="1">
        <f>MIN($F19,$M19,$T19)</f>
        <v>0</v>
      </c>
      <c r="AA19" s="1">
        <f>MIN($G19,$N19,$U19)</f>
        <v>0</v>
      </c>
      <c r="AB19" s="1">
        <f>MIN($H19,$O19,$V19)</f>
        <v>0</v>
      </c>
      <c r="AC19" s="1">
        <f>MEDIAN($B19,$I19,$P19)</f>
        <v>0</v>
      </c>
      <c r="AD19" s="1">
        <f>MEDIAN($C19,$J19,$Q19)</f>
        <v>0</v>
      </c>
      <c r="AE19" s="1">
        <f>MEDIAN($E19,$L19,$S19)</f>
        <v>0</v>
      </c>
      <c r="AF19" s="1">
        <f>MEDIAN($F19,$M19,$T19)</f>
        <v>0</v>
      </c>
      <c r="AG19" s="1">
        <f>MEDIAN($G19,$N19,$U19)</f>
        <v>0</v>
      </c>
      <c r="AH19" s="1">
        <f>MEDIAN($H19,$O19,$V19)</f>
        <v>0</v>
      </c>
      <c r="AI19" s="1">
        <f>MAX($B19,$I19,$P19)</f>
        <v>0</v>
      </c>
      <c r="AJ19" s="1">
        <f>MAX($C19,$J19,$Q19)</f>
        <v>0</v>
      </c>
      <c r="AK19" s="1">
        <f>MAX($E19,$L19,$S19)</f>
        <v>0</v>
      </c>
      <c r="AL19" s="1">
        <f>MAX($F19,$M19,$T19)</f>
        <v>0</v>
      </c>
      <c r="AM19" s="1">
        <f>MAX($G19,$N19,$U19)</f>
        <v>0</v>
      </c>
      <c r="AN19" s="1">
        <f>MAX($H19,$O19,$V19)</f>
        <v>0</v>
      </c>
    </row>
    <row r="20" spans="1:40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/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/>
      <c r="K20" s="1"/>
      <c r="L20" s="1"/>
      <c r="M20" s="1"/>
      <c r="N20" s="1"/>
      <c r="O20" s="1" cm="1">
        <f t="array" ref="O20">_xlfn.SWITCH($A$2,"average", AVERAGE(Instances!O20:Instances!O20),"median", MEDIAN(Instances!O20:Instances!O20),"min", MIN(Instances!O20:Instances!O20),"max", MAX(Instances!O20:Instances!O20),"diff", MAX(Instances!O20:Instances!O20)-MIN(Instances!O20:Instances!O20))</f>
        <v>0</v>
      </c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/>
      <c r="S20" s="1" cm="1">
        <f t="array" ref="S20">_xlfn.SWITCH($A$2,"average", AVERAGE(Instances!S20:Instances!S20),"median", MEDIAN(Instances!S20:Instances!S20),"min", MIN(Instances!S20:Instances!S20),"max", MAX(Instances!S20:Instances!S20),"diff", MAX(Instances!S20:Instances!S20)-MIN(Instances!S20:Instances!S20))</f>
        <v>0</v>
      </c>
      <c r="T20" s="1" cm="1">
        <f t="array" ref="T20">_xlfn.SWITCH($A$2,"average", AVERAGE(Instances!T20:Instances!T20),"median", MEDIAN(Instances!T20:Instances!T20),"min", MIN(Instances!T20:Instances!T20),"max", MAX(Instances!T20:Instances!T20),"diff", MAX(Instances!T20:Instances!T20)-MIN(Instances!T20:Instances!T20))</f>
        <v>0</v>
      </c>
      <c r="U20" s="1" cm="1">
        <f t="array" ref="U20">_xlfn.SWITCH($A$2,"average", AVERAGE(Instances!U20:Instances!U20),"median", MEDIAN(Instances!U20:Instances!U20),"min", MIN(Instances!U20:Instances!U20),"max", MAX(Instances!U20:Instances!U20),"diff", MAX(Instances!U20:Instances!U20)-MIN(Instances!U20:Instances!U20))</f>
        <v>0</v>
      </c>
      <c r="V20" s="1" cm="1">
        <f t="array" ref="V20">_xlfn.SWITCH($A$2,"average", AVERAGE(Instances!V20:Instances!V20),"median", MEDIAN(Instances!V20:Instances!V20),"min", MIN(Instances!V20:Instances!V20),"max", MAX(Instances!V20:Instances!V20),"diff", MAX(Instances!V20:Instances!V20)-MIN(Instances!V20:Instances!V20))</f>
        <v>0</v>
      </c>
      <c r="W20" s="1">
        <f>MIN($B20,$I20,$P20)</f>
        <v>0</v>
      </c>
      <c r="X20" s="1">
        <f>MIN($C20,$J20,$Q20)</f>
        <v>0</v>
      </c>
      <c r="Y20" s="1">
        <f>MIN($E20,$L20,$S20)</f>
        <v>0</v>
      </c>
      <c r="Z20" s="1">
        <f>MIN($F20,$M20,$T20)</f>
        <v>0</v>
      </c>
      <c r="AA20" s="1">
        <f>MIN($G20,$N20,$U20)</f>
        <v>0</v>
      </c>
      <c r="AB20" s="1">
        <f>MIN($H20,$O20,$V20)</f>
        <v>0</v>
      </c>
      <c r="AC20" s="1">
        <f>MEDIAN($B20,$I20,$P20)</f>
        <v>0</v>
      </c>
      <c r="AD20" s="1">
        <f>MEDIAN($C20,$J20,$Q20)</f>
        <v>0</v>
      </c>
      <c r="AE20" s="1">
        <f>MEDIAN($E20,$L20,$S20)</f>
        <v>0</v>
      </c>
      <c r="AF20" s="1">
        <f>MEDIAN($F20,$M20,$T20)</f>
        <v>0</v>
      </c>
      <c r="AG20" s="1">
        <f>MEDIAN($G20,$N20,$U20)</f>
        <v>0</v>
      </c>
      <c r="AH20" s="1">
        <f>MEDIAN($H20,$O20,$V20)</f>
        <v>0</v>
      </c>
      <c r="AI20" s="1">
        <f>MAX($B20,$I20,$P20)</f>
        <v>0</v>
      </c>
      <c r="AJ20" s="1">
        <f>MAX($C20,$J20,$Q20)</f>
        <v>0</v>
      </c>
      <c r="AK20" s="1">
        <f>MAX($E20,$L20,$S20)</f>
        <v>0</v>
      </c>
      <c r="AL20" s="1">
        <f>MAX($F20,$M20,$T20)</f>
        <v>0</v>
      </c>
      <c r="AM20" s="1">
        <f>MAX($G20,$N20,$U20)</f>
        <v>0</v>
      </c>
      <c r="AN20" s="1">
        <f>MAX($H20,$O20,$V20)</f>
        <v>0</v>
      </c>
    </row>
    <row r="21" spans="1:40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/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/>
      <c r="L21" s="1" cm="1">
        <f t="array" ref="L21">_xlfn.SWITCH($A$2,"average", AVERAGE(Instances!L21:Instances!L21),"median", MEDIAN(Instances!L21:Instances!L21),"min", MIN(Instances!L21:Instances!L21),"max", MAX(Instances!L21:Instances!L21),"diff", MAX(Instances!L21:Instances!L21)-MIN(Instances!L21:Instances!L21))</f>
        <v>0</v>
      </c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 cm="1">
        <f t="array" ref="O21">_xlfn.SWITCH($A$2,"average", AVERAGE(Instances!O21:Instances!O21),"median", MEDIAN(Instances!O21:Instances!O21),"min", MIN(Instances!O21:Instances!O21),"max", MAX(Instances!O21:Instances!O21),"diff", MAX(Instances!O21:Instances!O21)-MIN(Instances!O21:Instances!O21))</f>
        <v>0</v>
      </c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/>
      <c r="S21" s="1" cm="1">
        <f t="array" ref="S21">_xlfn.SWITCH($A$2,"average", AVERAGE(Instances!S21:Instances!S21),"median", MEDIAN(Instances!S21:Instances!S21),"min", MIN(Instances!S21:Instances!S21),"max", MAX(Instances!S21:Instances!S21),"diff", MAX(Instances!S21:Instances!S21)-MIN(Instances!S21:Instances!S21))</f>
        <v>0</v>
      </c>
      <c r="T21" s="1" cm="1">
        <f t="array" ref="T21">_xlfn.SWITCH($A$2,"average", AVERAGE(Instances!T21:Instances!T21),"median", MEDIAN(Instances!T21:Instances!T21),"min", MIN(Instances!T21:Instances!T21),"max", MAX(Instances!T21:Instances!T21),"diff", MAX(Instances!T21:Instances!T21)-MIN(Instances!T21:Instances!T21))</f>
        <v>0</v>
      </c>
      <c r="U21" s="1" cm="1">
        <f t="array" ref="U21">_xlfn.SWITCH($A$2,"average", AVERAGE(Instances!U21:Instances!U21),"median", MEDIAN(Instances!U21:Instances!U21),"min", MIN(Instances!U21:Instances!U21),"max", MAX(Instances!U21:Instances!U21),"diff", MAX(Instances!U21:Instances!U21)-MIN(Instances!U21:Instances!U21))</f>
        <v>0</v>
      </c>
      <c r="V21" s="1" cm="1">
        <f t="array" ref="V21">_xlfn.SWITCH($A$2,"average", AVERAGE(Instances!V21:Instances!V21),"median", MEDIAN(Instances!V21:Instances!V21),"min", MIN(Instances!V21:Instances!V21),"max", MAX(Instances!V21:Instances!V21),"diff", MAX(Instances!V21:Instances!V21)-MIN(Instances!V21:Instances!V21))</f>
        <v>0</v>
      </c>
      <c r="W21" s="1">
        <f>MIN($B21,$I21,$P21)</f>
        <v>0</v>
      </c>
      <c r="X21" s="1">
        <f>MIN($C21,$J21,$Q21)</f>
        <v>0</v>
      </c>
      <c r="Y21" s="1">
        <f>MIN($E21,$L21,$S21)</f>
        <v>0</v>
      </c>
      <c r="Z21" s="1">
        <f>MIN($F21,$M21,$T21)</f>
        <v>0</v>
      </c>
      <c r="AA21" s="1">
        <f>MIN($G21,$N21,$U21)</f>
        <v>0</v>
      </c>
      <c r="AB21" s="1">
        <f>MIN($H21,$O21,$V21)</f>
        <v>0</v>
      </c>
      <c r="AC21" s="1">
        <f>MEDIAN($B21,$I21,$P21)</f>
        <v>0</v>
      </c>
      <c r="AD21" s="1">
        <f>MEDIAN($C21,$J21,$Q21)</f>
        <v>0</v>
      </c>
      <c r="AE21" s="1">
        <f>MEDIAN($E21,$L21,$S21)</f>
        <v>0</v>
      </c>
      <c r="AF21" s="1">
        <f>MEDIAN($F21,$M21,$T21)</f>
        <v>0</v>
      </c>
      <c r="AG21" s="1">
        <f>MEDIAN($G21,$N21,$U21)</f>
        <v>0</v>
      </c>
      <c r="AH21" s="1">
        <f>MEDIAN($H21,$O21,$V21)</f>
        <v>0</v>
      </c>
      <c r="AI21" s="1">
        <f>MAX($B21,$I21,$P21)</f>
        <v>0</v>
      </c>
      <c r="AJ21" s="1">
        <f>MAX($C21,$J21,$Q21)</f>
        <v>0</v>
      </c>
      <c r="AK21" s="1">
        <f>MAX($E21,$L21,$S21)</f>
        <v>0</v>
      </c>
      <c r="AL21" s="1">
        <f>MAX($F21,$M21,$T21)</f>
        <v>0</v>
      </c>
      <c r="AM21" s="1">
        <f>MAX($G21,$N21,$U21)</f>
        <v>0</v>
      </c>
      <c r="AN21" s="1">
        <f>MAX($H21,$O21,$V21)</f>
        <v>0</v>
      </c>
    </row>
    <row r="22" spans="1:40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/>
      <c r="D22" s="1"/>
      <c r="E22" s="1"/>
      <c r="F22" s="1"/>
      <c r="G22" s="1"/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/>
      <c r="L22" s="1" cm="1">
        <f t="array" ref="L22">_xlfn.SWITCH($A$2,"average", AVERAGE(Instances!L22:Instances!L22),"median", MEDIAN(Instances!L22:Instances!L22),"min", MIN(Instances!L22:Instances!L22),"max", MAX(Instances!L22:Instances!L22),"diff", MAX(Instances!L22:Instances!L22)-MIN(Instances!L22:Instances!L22))</f>
        <v>0</v>
      </c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 cm="1">
        <f t="array" ref="O22">_xlfn.SWITCH($A$2,"average", AVERAGE(Instances!O22:Instances!O22),"median", MEDIAN(Instances!O22:Instances!O22),"min", MIN(Instances!O22:Instances!O22),"max", MAX(Instances!O22:Instances!O22),"diff", MAX(Instances!O22:Instances!O22)-MIN(Instances!O22:Instances!O22))</f>
        <v>0</v>
      </c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/>
      <c r="S22" s="1" cm="1">
        <f t="array" ref="S22">_xlfn.SWITCH($A$2,"average", AVERAGE(Instances!S22:Instances!S22),"median", MEDIAN(Instances!S22:Instances!S22),"min", MIN(Instances!S22:Instances!S22),"max", MAX(Instances!S22:Instances!S22),"diff", MAX(Instances!S22:Instances!S22)-MIN(Instances!S22:Instances!S22))</f>
        <v>0</v>
      </c>
      <c r="T22" s="1" cm="1">
        <f t="array" ref="T22">_xlfn.SWITCH($A$2,"average", AVERAGE(Instances!T22:Instances!T22),"median", MEDIAN(Instances!T22:Instances!T22),"min", MIN(Instances!T22:Instances!T22),"max", MAX(Instances!T22:Instances!T22),"diff", MAX(Instances!T22:Instances!T22)-MIN(Instances!T22:Instances!T22))</f>
        <v>0</v>
      </c>
      <c r="U22" s="1" cm="1">
        <f t="array" ref="U22">_xlfn.SWITCH($A$2,"average", AVERAGE(Instances!U22:Instances!U22),"median", MEDIAN(Instances!U22:Instances!U22),"min", MIN(Instances!U22:Instances!U22),"max", MAX(Instances!U22:Instances!U22),"diff", MAX(Instances!U22:Instances!U22)-MIN(Instances!U22:Instances!U22))</f>
        <v>0</v>
      </c>
      <c r="V22" s="1" cm="1">
        <f t="array" ref="V22">_xlfn.SWITCH($A$2,"average", AVERAGE(Instances!V22:Instances!V22),"median", MEDIAN(Instances!V22:Instances!V22),"min", MIN(Instances!V22:Instances!V22),"max", MAX(Instances!V22:Instances!V22),"diff", MAX(Instances!V22:Instances!V22)-MIN(Instances!V22:Instances!V22))</f>
        <v>0</v>
      </c>
      <c r="W22" s="1">
        <f>MIN($B22,$I22,$P22)</f>
        <v>0</v>
      </c>
      <c r="X22" s="1">
        <f>MIN($C22,$J22,$Q22)</f>
        <v>0</v>
      </c>
      <c r="Y22" s="1">
        <f>MIN($E22,$L22,$S22)</f>
        <v>0</v>
      </c>
      <c r="Z22" s="1">
        <f>MIN($F22,$M22,$T22)</f>
        <v>0</v>
      </c>
      <c r="AA22" s="1">
        <f>MIN($G22,$N22,$U22)</f>
        <v>0</v>
      </c>
      <c r="AB22" s="1">
        <f>MIN($H22,$O22,$V22)</f>
        <v>0</v>
      </c>
      <c r="AC22" s="1">
        <f>MEDIAN($B22,$I22,$P22)</f>
        <v>0</v>
      </c>
      <c r="AD22" s="1">
        <f>MEDIAN($C22,$J22,$Q22)</f>
        <v>0</v>
      </c>
      <c r="AE22" s="1">
        <f>MEDIAN($E22,$L22,$S22)</f>
        <v>0</v>
      </c>
      <c r="AF22" s="1">
        <f>MEDIAN($F22,$M22,$T22)</f>
        <v>0</v>
      </c>
      <c r="AG22" s="1">
        <f>MEDIAN($G22,$N22,$U22)</f>
        <v>0</v>
      </c>
      <c r="AH22" s="1">
        <f>MEDIAN($H22,$O22,$V22)</f>
        <v>0</v>
      </c>
      <c r="AI22" s="1">
        <f>MAX($B22,$I22,$P22)</f>
        <v>0</v>
      </c>
      <c r="AJ22" s="1">
        <f>MAX($C22,$J22,$Q22)</f>
        <v>0</v>
      </c>
      <c r="AK22" s="1">
        <f>MAX($E22,$L22,$S22)</f>
        <v>0</v>
      </c>
      <c r="AL22" s="1">
        <f>MAX($F22,$M22,$T22)</f>
        <v>0</v>
      </c>
      <c r="AM22" s="1">
        <f>MAX($G22,$N22,$U22)</f>
        <v>0</v>
      </c>
      <c r="AN22" s="1">
        <f>MAX($H22,$O22,$V22)</f>
        <v>0</v>
      </c>
    </row>
    <row r="23" spans="1:40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/>
      <c r="D23" s="1"/>
      <c r="E23" s="1"/>
      <c r="F23" s="1"/>
      <c r="G23" s="1"/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/>
      <c r="L23" s="1" cm="1">
        <f t="array" ref="L23">_xlfn.SWITCH($A$2,"average", AVERAGE(Instances!L23:Instances!L23),"median", MEDIAN(Instances!L23:Instances!L23),"min", MIN(Instances!L23:Instances!L23),"max", MAX(Instances!L23:Instances!L23),"diff", MAX(Instances!L23:Instances!L23)-MIN(Instances!L23:Instances!L23))</f>
        <v>0</v>
      </c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 cm="1">
        <f t="array" ref="O23">_xlfn.SWITCH($A$2,"average", AVERAGE(Instances!O23:Instances!O23),"median", MEDIAN(Instances!O23:Instances!O23),"min", MIN(Instances!O23:Instances!O23),"max", MAX(Instances!O23:Instances!O23),"diff", MAX(Instances!O23:Instances!O23)-MIN(Instances!O23:Instances!O23))</f>
        <v>0</v>
      </c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/>
      <c r="S23" s="1" cm="1">
        <f t="array" ref="S23">_xlfn.SWITCH($A$2,"average", AVERAGE(Instances!S23:Instances!S23),"median", MEDIAN(Instances!S23:Instances!S23),"min", MIN(Instances!S23:Instances!S23),"max", MAX(Instances!S23:Instances!S23),"diff", MAX(Instances!S23:Instances!S23)-MIN(Instances!S23:Instances!S23))</f>
        <v>0</v>
      </c>
      <c r="T23" s="1" cm="1">
        <f t="array" ref="T23">_xlfn.SWITCH($A$2,"average", AVERAGE(Instances!T23:Instances!T23),"median", MEDIAN(Instances!T23:Instances!T23),"min", MIN(Instances!T23:Instances!T23),"max", MAX(Instances!T23:Instances!T23),"diff", MAX(Instances!T23:Instances!T23)-MIN(Instances!T23:Instances!T23))</f>
        <v>0</v>
      </c>
      <c r="U23" s="1" cm="1">
        <f t="array" ref="U23">_xlfn.SWITCH($A$2,"average", AVERAGE(Instances!U23:Instances!U23),"median", MEDIAN(Instances!U23:Instances!U23),"min", MIN(Instances!U23:Instances!U23),"max", MAX(Instances!U23:Instances!U23),"diff", MAX(Instances!U23:Instances!U23)-MIN(Instances!U23:Instances!U23))</f>
        <v>0</v>
      </c>
      <c r="V23" s="1" cm="1">
        <f t="array" ref="V23">_xlfn.SWITCH($A$2,"average", AVERAGE(Instances!V23:Instances!V23),"median", MEDIAN(Instances!V23:Instances!V23),"min", MIN(Instances!V23:Instances!V23),"max", MAX(Instances!V23:Instances!V23),"diff", MAX(Instances!V23:Instances!V23)-MIN(Instances!V23:Instances!V23))</f>
        <v>0</v>
      </c>
      <c r="W23" s="1">
        <f>MIN($B23,$I23,$P23)</f>
        <v>0</v>
      </c>
      <c r="X23" s="1">
        <f>MIN($C23,$J23,$Q23)</f>
        <v>0</v>
      </c>
      <c r="Y23" s="1">
        <f>MIN($E23,$L23,$S23)</f>
        <v>0</v>
      </c>
      <c r="Z23" s="1">
        <f>MIN($F23,$M23,$T23)</f>
        <v>0</v>
      </c>
      <c r="AA23" s="1">
        <f>MIN($G23,$N23,$U23)</f>
        <v>0</v>
      </c>
      <c r="AB23" s="1">
        <f>MIN($H23,$O23,$V23)</f>
        <v>0</v>
      </c>
      <c r="AC23" s="1">
        <f>MEDIAN($B23,$I23,$P23)</f>
        <v>0</v>
      </c>
      <c r="AD23" s="1">
        <f>MEDIAN($C23,$J23,$Q23)</f>
        <v>0</v>
      </c>
      <c r="AE23" s="1">
        <f>MEDIAN($E23,$L23,$S23)</f>
        <v>0</v>
      </c>
      <c r="AF23" s="1">
        <f>MEDIAN($F23,$M23,$T23)</f>
        <v>0</v>
      </c>
      <c r="AG23" s="1">
        <f>MEDIAN($G23,$N23,$U23)</f>
        <v>0</v>
      </c>
      <c r="AH23" s="1">
        <f>MEDIAN($H23,$O23,$V23)</f>
        <v>0</v>
      </c>
      <c r="AI23" s="1">
        <f>MAX($B23,$I23,$P23)</f>
        <v>0</v>
      </c>
      <c r="AJ23" s="1">
        <f>MAX($C23,$J23,$Q23)</f>
        <v>0</v>
      </c>
      <c r="AK23" s="1">
        <f>MAX($E23,$L23,$S23)</f>
        <v>0</v>
      </c>
      <c r="AL23" s="1">
        <f>MAX($F23,$M23,$T23)</f>
        <v>0</v>
      </c>
      <c r="AM23" s="1">
        <f>MAX($G23,$N23,$U23)</f>
        <v>0</v>
      </c>
      <c r="AN23" s="1">
        <f>MAX($H23,$O23,$V23)</f>
        <v>0</v>
      </c>
    </row>
    <row r="24" spans="1:40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/>
      <c r="D24" s="1"/>
      <c r="E24" s="1"/>
      <c r="F24" s="1"/>
      <c r="G24" s="1"/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/>
      <c r="L24" s="1" cm="1">
        <f t="array" ref="L24">_xlfn.SWITCH($A$2,"average", AVERAGE(Instances!L24:Instances!L24),"median", MEDIAN(Instances!L24:Instances!L24),"min", MIN(Instances!L24:Instances!L24),"max", MAX(Instances!L24:Instances!L24),"diff", MAX(Instances!L24:Instances!L24)-MIN(Instances!L24:Instances!L24))</f>
        <v>0</v>
      </c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 cm="1">
        <f t="array" ref="O24">_xlfn.SWITCH($A$2,"average", AVERAGE(Instances!O24:Instances!O24),"median", MEDIAN(Instances!O24:Instances!O24),"min", MIN(Instances!O24:Instances!O24),"max", MAX(Instances!O24:Instances!O24),"diff", MAX(Instances!O24:Instances!O24)-MIN(Instances!O24:Instances!O24))</f>
        <v>0</v>
      </c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/>
      <c r="S24" s="1" cm="1">
        <f t="array" ref="S24">_xlfn.SWITCH($A$2,"average", AVERAGE(Instances!S24:Instances!S24),"median", MEDIAN(Instances!S24:Instances!S24),"min", MIN(Instances!S24:Instances!S24),"max", MAX(Instances!S24:Instances!S24),"diff", MAX(Instances!S24:Instances!S24)-MIN(Instances!S24:Instances!S24))</f>
        <v>0</v>
      </c>
      <c r="T24" s="1" cm="1">
        <f t="array" ref="T24">_xlfn.SWITCH($A$2,"average", AVERAGE(Instances!T24:Instances!T24),"median", MEDIAN(Instances!T24:Instances!T24),"min", MIN(Instances!T24:Instances!T24),"max", MAX(Instances!T24:Instances!T24),"diff", MAX(Instances!T24:Instances!T24)-MIN(Instances!T24:Instances!T24))</f>
        <v>0</v>
      </c>
      <c r="U24" s="1" cm="1">
        <f t="array" ref="U24">_xlfn.SWITCH($A$2,"average", AVERAGE(Instances!U24:Instances!U24),"median", MEDIAN(Instances!U24:Instances!U24),"min", MIN(Instances!U24:Instances!U24),"max", MAX(Instances!U24:Instances!U24),"diff", MAX(Instances!U24:Instances!U24)-MIN(Instances!U24:Instances!U24))</f>
        <v>0</v>
      </c>
      <c r="V24" s="1" cm="1">
        <f t="array" ref="V24">_xlfn.SWITCH($A$2,"average", AVERAGE(Instances!V24:Instances!V24),"median", MEDIAN(Instances!V24:Instances!V24),"min", MIN(Instances!V24:Instances!V24),"max", MAX(Instances!V24:Instances!V24),"diff", MAX(Instances!V24:Instances!V24)-MIN(Instances!V24:Instances!V24))</f>
        <v>0</v>
      </c>
      <c r="W24" s="1">
        <f>MIN($B24,$I24,$P24)</f>
        <v>0</v>
      </c>
      <c r="X24" s="1">
        <f>MIN($C24,$J24,$Q24)</f>
        <v>0</v>
      </c>
      <c r="Y24" s="1">
        <f>MIN($E24,$L24,$S24)</f>
        <v>0</v>
      </c>
      <c r="Z24" s="1">
        <f>MIN($F24,$M24,$T24)</f>
        <v>0</v>
      </c>
      <c r="AA24" s="1">
        <f>MIN($G24,$N24,$U24)</f>
        <v>0</v>
      </c>
      <c r="AB24" s="1">
        <f>MIN($H24,$O24,$V24)</f>
        <v>0</v>
      </c>
      <c r="AC24" s="1">
        <f>MEDIAN($B24,$I24,$P24)</f>
        <v>0</v>
      </c>
      <c r="AD24" s="1">
        <f>MEDIAN($C24,$J24,$Q24)</f>
        <v>0</v>
      </c>
      <c r="AE24" s="1">
        <f>MEDIAN($E24,$L24,$S24)</f>
        <v>0</v>
      </c>
      <c r="AF24" s="1">
        <f>MEDIAN($F24,$M24,$T24)</f>
        <v>0</v>
      </c>
      <c r="AG24" s="1">
        <f>MEDIAN($G24,$N24,$U24)</f>
        <v>0</v>
      </c>
      <c r="AH24" s="1">
        <f>MEDIAN($H24,$O24,$V24)</f>
        <v>0</v>
      </c>
      <c r="AI24" s="1">
        <f>MAX($B24,$I24,$P24)</f>
        <v>0</v>
      </c>
      <c r="AJ24" s="1">
        <f>MAX($C24,$J24,$Q24)</f>
        <v>0</v>
      </c>
      <c r="AK24" s="1">
        <f>MAX($E24,$L24,$S24)</f>
        <v>0</v>
      </c>
      <c r="AL24" s="1">
        <f>MAX($F24,$M24,$T24)</f>
        <v>0</v>
      </c>
      <c r="AM24" s="1">
        <f>MAX($G24,$N24,$U24)</f>
        <v>0</v>
      </c>
      <c r="AN24" s="1">
        <f>MAX($H24,$O24,$V24)</f>
        <v>0</v>
      </c>
    </row>
    <row r="25" spans="1:40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/>
      <c r="D25" s="1"/>
      <c r="E25" s="1"/>
      <c r="F25" s="1"/>
      <c r="G25" s="1"/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/>
      <c r="L25" s="1" cm="1">
        <f t="array" ref="L25">_xlfn.SWITCH($A$2,"average", AVERAGE(Instances!L25:Instances!L25),"median", MEDIAN(Instances!L25:Instances!L25),"min", MIN(Instances!L25:Instances!L25),"max", MAX(Instances!L25:Instances!L25),"diff", MAX(Instances!L25:Instances!L25)-MIN(Instances!L25:Instances!L25))</f>
        <v>0</v>
      </c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 cm="1">
        <f t="array" ref="O25">_xlfn.SWITCH($A$2,"average", AVERAGE(Instances!O25:Instances!O25),"median", MEDIAN(Instances!O25:Instances!O25),"min", MIN(Instances!O25:Instances!O25),"max", MAX(Instances!O25:Instances!O25),"diff", MAX(Instances!O25:Instances!O25)-MIN(Instances!O25:Instances!O25))</f>
        <v>0</v>
      </c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/>
      <c r="S25" s="1" cm="1">
        <f t="array" ref="S25">_xlfn.SWITCH($A$2,"average", AVERAGE(Instances!S25:Instances!S25),"median", MEDIAN(Instances!S25:Instances!S25),"min", MIN(Instances!S25:Instances!S25),"max", MAX(Instances!S25:Instances!S25),"diff", MAX(Instances!S25:Instances!S25)-MIN(Instances!S25:Instances!S25))</f>
        <v>0</v>
      </c>
      <c r="T25" s="1" cm="1">
        <f t="array" ref="T25">_xlfn.SWITCH($A$2,"average", AVERAGE(Instances!T25:Instances!T25),"median", MEDIAN(Instances!T25:Instances!T25),"min", MIN(Instances!T25:Instances!T25),"max", MAX(Instances!T25:Instances!T25),"diff", MAX(Instances!T25:Instances!T25)-MIN(Instances!T25:Instances!T25))</f>
        <v>0</v>
      </c>
      <c r="U25" s="1" cm="1">
        <f t="array" ref="U25">_xlfn.SWITCH($A$2,"average", AVERAGE(Instances!U25:Instances!U25),"median", MEDIAN(Instances!U25:Instances!U25),"min", MIN(Instances!U25:Instances!U25),"max", MAX(Instances!U25:Instances!U25),"diff", MAX(Instances!U25:Instances!U25)-MIN(Instances!U25:Instances!U25))</f>
        <v>0</v>
      </c>
      <c r="V25" s="1" cm="1">
        <f t="array" ref="V25">_xlfn.SWITCH($A$2,"average", AVERAGE(Instances!V25:Instances!V25),"median", MEDIAN(Instances!V25:Instances!V25),"min", MIN(Instances!V25:Instances!V25),"max", MAX(Instances!V25:Instances!V25),"diff", MAX(Instances!V25:Instances!V25)-MIN(Instances!V25:Instances!V25))</f>
        <v>0</v>
      </c>
      <c r="W25" s="1">
        <f>MIN($B25,$I25,$P25)</f>
        <v>0</v>
      </c>
      <c r="X25" s="1">
        <f>MIN($C25,$J25,$Q25)</f>
        <v>0</v>
      </c>
      <c r="Y25" s="1">
        <f>MIN($E25,$L25,$S25)</f>
        <v>0</v>
      </c>
      <c r="Z25" s="1">
        <f>MIN($F25,$M25,$T25)</f>
        <v>0</v>
      </c>
      <c r="AA25" s="1">
        <f>MIN($G25,$N25,$U25)</f>
        <v>0</v>
      </c>
      <c r="AB25" s="1">
        <f>MIN($H25,$O25,$V25)</f>
        <v>0</v>
      </c>
      <c r="AC25" s="1">
        <f>MEDIAN($B25,$I25,$P25)</f>
        <v>0</v>
      </c>
      <c r="AD25" s="1">
        <f>MEDIAN($C25,$J25,$Q25)</f>
        <v>0</v>
      </c>
      <c r="AE25" s="1">
        <f>MEDIAN($E25,$L25,$S25)</f>
        <v>0</v>
      </c>
      <c r="AF25" s="1">
        <f>MEDIAN($F25,$M25,$T25)</f>
        <v>0</v>
      </c>
      <c r="AG25" s="1">
        <f>MEDIAN($G25,$N25,$U25)</f>
        <v>0</v>
      </c>
      <c r="AH25" s="1">
        <f>MEDIAN($H25,$O25,$V25)</f>
        <v>0</v>
      </c>
      <c r="AI25" s="1">
        <f>MAX($B25,$I25,$P25)</f>
        <v>0</v>
      </c>
      <c r="AJ25" s="1">
        <f>MAX($C25,$J25,$Q25)</f>
        <v>0</v>
      </c>
      <c r="AK25" s="1">
        <f>MAX($E25,$L25,$S25)</f>
        <v>0</v>
      </c>
      <c r="AL25" s="1">
        <f>MAX($F25,$M25,$T25)</f>
        <v>0</v>
      </c>
      <c r="AM25" s="1">
        <f>MAX($G25,$N25,$U25)</f>
        <v>0</v>
      </c>
      <c r="AN25" s="1">
        <f>MAX($H25,$O25,$V25)</f>
        <v>0</v>
      </c>
    </row>
    <row r="26" spans="1:40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/>
      <c r="D26" s="1"/>
      <c r="E26" s="1"/>
      <c r="F26" s="1"/>
      <c r="G26" s="1"/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/>
      <c r="L26" s="1" cm="1">
        <f t="array" ref="L26">_xlfn.SWITCH($A$2,"average", AVERAGE(Instances!L26:Instances!L26),"median", MEDIAN(Instances!L26:Instances!L26),"min", MIN(Instances!L26:Instances!L26),"max", MAX(Instances!L26:Instances!L26),"diff", MAX(Instances!L26:Instances!L26)-MIN(Instances!L26:Instances!L26))</f>
        <v>0</v>
      </c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 cm="1">
        <f t="array" ref="O26">_xlfn.SWITCH($A$2,"average", AVERAGE(Instances!O26:Instances!O26),"median", MEDIAN(Instances!O26:Instances!O26),"min", MIN(Instances!O26:Instances!O26),"max", MAX(Instances!O26:Instances!O26),"diff", MAX(Instances!O26:Instances!O26)-MIN(Instances!O26:Instances!O26))</f>
        <v>0</v>
      </c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/>
      <c r="S26" s="1" cm="1">
        <f t="array" ref="S26">_xlfn.SWITCH($A$2,"average", AVERAGE(Instances!S26:Instances!S26),"median", MEDIAN(Instances!S26:Instances!S26),"min", MIN(Instances!S26:Instances!S26),"max", MAX(Instances!S26:Instances!S26),"diff", MAX(Instances!S26:Instances!S26)-MIN(Instances!S26:Instances!S26))</f>
        <v>0</v>
      </c>
      <c r="T26" s="1" cm="1">
        <f t="array" ref="T26">_xlfn.SWITCH($A$2,"average", AVERAGE(Instances!T26:Instances!T26),"median", MEDIAN(Instances!T26:Instances!T26),"min", MIN(Instances!T26:Instances!T26),"max", MAX(Instances!T26:Instances!T26),"diff", MAX(Instances!T26:Instances!T26)-MIN(Instances!T26:Instances!T26))</f>
        <v>0</v>
      </c>
      <c r="U26" s="1" cm="1">
        <f t="array" ref="U26">_xlfn.SWITCH($A$2,"average", AVERAGE(Instances!U26:Instances!U26),"median", MEDIAN(Instances!U26:Instances!U26),"min", MIN(Instances!U26:Instances!U26),"max", MAX(Instances!U26:Instances!U26),"diff", MAX(Instances!U26:Instances!U26)-MIN(Instances!U26:Instances!U26))</f>
        <v>0</v>
      </c>
      <c r="V26" s="1" cm="1">
        <f t="array" ref="V26">_xlfn.SWITCH($A$2,"average", AVERAGE(Instances!V26:Instances!V26),"median", MEDIAN(Instances!V26:Instances!V26),"min", MIN(Instances!V26:Instances!V26),"max", MAX(Instances!V26:Instances!V26),"diff", MAX(Instances!V26:Instances!V26)-MIN(Instances!V26:Instances!V26))</f>
        <v>0</v>
      </c>
      <c r="W26" s="1">
        <f>MIN($B26,$I26,$P26)</f>
        <v>0</v>
      </c>
      <c r="X26" s="1">
        <f>MIN($C26,$J26,$Q26)</f>
        <v>0</v>
      </c>
      <c r="Y26" s="1">
        <f>MIN($E26,$L26,$S26)</f>
        <v>0</v>
      </c>
      <c r="Z26" s="1">
        <f>MIN($F26,$M26,$T26)</f>
        <v>0</v>
      </c>
      <c r="AA26" s="1">
        <f>MIN($G26,$N26,$U26)</f>
        <v>0</v>
      </c>
      <c r="AB26" s="1">
        <f>MIN($H26,$O26,$V26)</f>
        <v>0</v>
      </c>
      <c r="AC26" s="1">
        <f>MEDIAN($B26,$I26,$P26)</f>
        <v>0</v>
      </c>
      <c r="AD26" s="1">
        <f>MEDIAN($C26,$J26,$Q26)</f>
        <v>0</v>
      </c>
      <c r="AE26" s="1">
        <f>MEDIAN($E26,$L26,$S26)</f>
        <v>0</v>
      </c>
      <c r="AF26" s="1">
        <f>MEDIAN($F26,$M26,$T26)</f>
        <v>0</v>
      </c>
      <c r="AG26" s="1">
        <f>MEDIAN($G26,$N26,$U26)</f>
        <v>0</v>
      </c>
      <c r="AH26" s="1">
        <f>MEDIAN($H26,$O26,$V26)</f>
        <v>0</v>
      </c>
      <c r="AI26" s="1">
        <f>MAX($B26,$I26,$P26)</f>
        <v>0</v>
      </c>
      <c r="AJ26" s="1">
        <f>MAX($C26,$J26,$Q26)</f>
        <v>0</v>
      </c>
      <c r="AK26" s="1">
        <f>MAX($E26,$L26,$S26)</f>
        <v>0</v>
      </c>
      <c r="AL26" s="1">
        <f>MAX($F26,$M26,$T26)</f>
        <v>0</v>
      </c>
      <c r="AM26" s="1">
        <f>MAX($G26,$N26,$U26)</f>
        <v>0</v>
      </c>
      <c r="AN26" s="1">
        <f>MAX($H26,$O26,$V26)</f>
        <v>0</v>
      </c>
    </row>
    <row r="27" spans="1:40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/>
      <c r="D27" s="1"/>
      <c r="E27" s="1"/>
      <c r="F27" s="1"/>
      <c r="G27" s="1"/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/>
      <c r="K27" s="1"/>
      <c r="L27" s="1"/>
      <c r="M27" s="1"/>
      <c r="N27" s="1"/>
      <c r="O27" s="1" cm="1">
        <f t="array" ref="O27">_xlfn.SWITCH($A$2,"average", AVERAGE(Instances!O27:Instances!O27),"median", MEDIAN(Instances!O27:Instances!O27),"min", MIN(Instances!O27:Instances!O27),"max", MAX(Instances!O27:Instances!O27),"diff", MAX(Instances!O27:Instances!O27)-MIN(Instances!O27:Instances!O27))</f>
        <v>0</v>
      </c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/>
      <c r="S27" s="1" cm="1">
        <f t="array" ref="S27">_xlfn.SWITCH($A$2,"average", AVERAGE(Instances!S27:Instances!S27),"median", MEDIAN(Instances!S27:Instances!S27),"min", MIN(Instances!S27:Instances!S27),"max", MAX(Instances!S27:Instances!S27),"diff", MAX(Instances!S27:Instances!S27)-MIN(Instances!S27:Instances!S27))</f>
        <v>0</v>
      </c>
      <c r="T27" s="1" cm="1">
        <f t="array" ref="T27">_xlfn.SWITCH($A$2,"average", AVERAGE(Instances!T27:Instances!T27),"median", MEDIAN(Instances!T27:Instances!T27),"min", MIN(Instances!T27:Instances!T27),"max", MAX(Instances!T27:Instances!T27),"diff", MAX(Instances!T27:Instances!T27)-MIN(Instances!T27:Instances!T27))</f>
        <v>0</v>
      </c>
      <c r="U27" s="1" cm="1">
        <f t="array" ref="U27">_xlfn.SWITCH($A$2,"average", AVERAGE(Instances!U27:Instances!U27),"median", MEDIAN(Instances!U27:Instances!U27),"min", MIN(Instances!U27:Instances!U27),"max", MAX(Instances!U27:Instances!U27),"diff", MAX(Instances!U27:Instances!U27)-MIN(Instances!U27:Instances!U27))</f>
        <v>0</v>
      </c>
      <c r="V27" s="1" cm="1">
        <f t="array" ref="V27">_xlfn.SWITCH($A$2,"average", AVERAGE(Instances!V27:Instances!V27),"median", MEDIAN(Instances!V27:Instances!V27),"min", MIN(Instances!V27:Instances!V27),"max", MAX(Instances!V27:Instances!V27),"diff", MAX(Instances!V27:Instances!V27)-MIN(Instances!V27:Instances!V27))</f>
        <v>0</v>
      </c>
      <c r="W27" s="1">
        <f>MIN($B27,$I27,$P27)</f>
        <v>0</v>
      </c>
      <c r="X27" s="1">
        <f>MIN($C27,$J27,$Q27)</f>
        <v>0</v>
      </c>
      <c r="Y27" s="1">
        <f>MIN($E27,$L27,$S27)</f>
        <v>0</v>
      </c>
      <c r="Z27" s="1">
        <f>MIN($F27,$M27,$T27)</f>
        <v>0</v>
      </c>
      <c r="AA27" s="1">
        <f>MIN($G27,$N27,$U27)</f>
        <v>0</v>
      </c>
      <c r="AB27" s="1">
        <f>MIN($H27,$O27,$V27)</f>
        <v>0</v>
      </c>
      <c r="AC27" s="1">
        <f>MEDIAN($B27,$I27,$P27)</f>
        <v>0</v>
      </c>
      <c r="AD27" s="1">
        <f>MEDIAN($C27,$J27,$Q27)</f>
        <v>0</v>
      </c>
      <c r="AE27" s="1">
        <f>MEDIAN($E27,$L27,$S27)</f>
        <v>0</v>
      </c>
      <c r="AF27" s="1">
        <f>MEDIAN($F27,$M27,$T27)</f>
        <v>0</v>
      </c>
      <c r="AG27" s="1">
        <f>MEDIAN($G27,$N27,$U27)</f>
        <v>0</v>
      </c>
      <c r="AH27" s="1">
        <f>MEDIAN($H27,$O27,$V27)</f>
        <v>0</v>
      </c>
      <c r="AI27" s="1">
        <f>MAX($B27,$I27,$P27)</f>
        <v>0</v>
      </c>
      <c r="AJ27" s="1">
        <f>MAX($C27,$J27,$Q27)</f>
        <v>0</v>
      </c>
      <c r="AK27" s="1">
        <f>MAX($E27,$L27,$S27)</f>
        <v>0</v>
      </c>
      <c r="AL27" s="1">
        <f>MAX($F27,$M27,$T27)</f>
        <v>0</v>
      </c>
      <c r="AM27" s="1">
        <f>MAX($G27,$N27,$U27)</f>
        <v>0</v>
      </c>
      <c r="AN27" s="1">
        <f>MAX($H27,$O27,$V27)</f>
        <v>0</v>
      </c>
    </row>
    <row r="28" spans="1:40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/>
      <c r="D28" s="1"/>
      <c r="E28" s="1"/>
      <c r="F28" s="1"/>
      <c r="G28" s="1"/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/>
      <c r="L28" s="1" cm="1">
        <f t="array" ref="L28">_xlfn.SWITCH($A$2,"average", AVERAGE(Instances!L28:Instances!L28),"median", MEDIAN(Instances!L28:Instances!L28),"min", MIN(Instances!L28:Instances!L28),"max", MAX(Instances!L28:Instances!L28),"diff", MAX(Instances!L28:Instances!L28)-MIN(Instances!L28:Instances!L28))</f>
        <v>0</v>
      </c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 cm="1">
        <f t="array" ref="O28">_xlfn.SWITCH($A$2,"average", AVERAGE(Instances!O28:Instances!O28),"median", MEDIAN(Instances!O28:Instances!O28),"min", MIN(Instances!O28:Instances!O28),"max", MAX(Instances!O28:Instances!O28),"diff", MAX(Instances!O28:Instances!O28)-MIN(Instances!O28:Instances!O28))</f>
        <v>0</v>
      </c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/>
      <c r="S28" s="1" cm="1">
        <f t="array" ref="S28">_xlfn.SWITCH($A$2,"average", AVERAGE(Instances!S28:Instances!S28),"median", MEDIAN(Instances!S28:Instances!S28),"min", MIN(Instances!S28:Instances!S28),"max", MAX(Instances!S28:Instances!S28),"diff", MAX(Instances!S28:Instances!S28)-MIN(Instances!S28:Instances!S28))</f>
        <v>0</v>
      </c>
      <c r="T28" s="1" cm="1">
        <f t="array" ref="T28">_xlfn.SWITCH($A$2,"average", AVERAGE(Instances!T28:Instances!T28),"median", MEDIAN(Instances!T28:Instances!T28),"min", MIN(Instances!T28:Instances!T28),"max", MAX(Instances!T28:Instances!T28),"diff", MAX(Instances!T28:Instances!T28)-MIN(Instances!T28:Instances!T28))</f>
        <v>0</v>
      </c>
      <c r="U28" s="1" cm="1">
        <f t="array" ref="U28">_xlfn.SWITCH($A$2,"average", AVERAGE(Instances!U28:Instances!U28),"median", MEDIAN(Instances!U28:Instances!U28),"min", MIN(Instances!U28:Instances!U28),"max", MAX(Instances!U28:Instances!U28),"diff", MAX(Instances!U28:Instances!U28)-MIN(Instances!U28:Instances!U28))</f>
        <v>0</v>
      </c>
      <c r="V28" s="1" cm="1">
        <f t="array" ref="V28">_xlfn.SWITCH($A$2,"average", AVERAGE(Instances!V28:Instances!V28),"median", MEDIAN(Instances!V28:Instances!V28),"min", MIN(Instances!V28:Instances!V28),"max", MAX(Instances!V28:Instances!V28),"diff", MAX(Instances!V28:Instances!V28)-MIN(Instances!V28:Instances!V28))</f>
        <v>0</v>
      </c>
      <c r="W28" s="1">
        <f>MIN($B28,$I28,$P28)</f>
        <v>0</v>
      </c>
      <c r="X28" s="1">
        <f>MIN($C28,$J28,$Q28)</f>
        <v>0</v>
      </c>
      <c r="Y28" s="1">
        <f>MIN($E28,$L28,$S28)</f>
        <v>0</v>
      </c>
      <c r="Z28" s="1">
        <f>MIN($F28,$M28,$T28)</f>
        <v>0</v>
      </c>
      <c r="AA28" s="1">
        <f>MIN($G28,$N28,$U28)</f>
        <v>0</v>
      </c>
      <c r="AB28" s="1">
        <f>MIN($H28,$O28,$V28)</f>
        <v>0</v>
      </c>
      <c r="AC28" s="1">
        <f>MEDIAN($B28,$I28,$P28)</f>
        <v>0</v>
      </c>
      <c r="AD28" s="1">
        <f>MEDIAN($C28,$J28,$Q28)</f>
        <v>0</v>
      </c>
      <c r="AE28" s="1">
        <f>MEDIAN($E28,$L28,$S28)</f>
        <v>0</v>
      </c>
      <c r="AF28" s="1">
        <f>MEDIAN($F28,$M28,$T28)</f>
        <v>0</v>
      </c>
      <c r="AG28" s="1">
        <f>MEDIAN($G28,$N28,$U28)</f>
        <v>0</v>
      </c>
      <c r="AH28" s="1">
        <f>MEDIAN($H28,$O28,$V28)</f>
        <v>0</v>
      </c>
      <c r="AI28" s="1">
        <f>MAX($B28,$I28,$P28)</f>
        <v>0</v>
      </c>
      <c r="AJ28" s="1">
        <f>MAX($C28,$J28,$Q28)</f>
        <v>0</v>
      </c>
      <c r="AK28" s="1">
        <f>MAX($E28,$L28,$S28)</f>
        <v>0</v>
      </c>
      <c r="AL28" s="1">
        <f>MAX($F28,$M28,$T28)</f>
        <v>0</v>
      </c>
      <c r="AM28" s="1">
        <f>MAX($G28,$N28,$U28)</f>
        <v>0</v>
      </c>
      <c r="AN28" s="1">
        <f>MAX($H28,$O28,$V28)</f>
        <v>0</v>
      </c>
    </row>
    <row r="29" spans="1:40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/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/>
      <c r="L29" s="1" cm="1">
        <f t="array" ref="L29">_xlfn.SWITCH($A$2,"average", AVERAGE(Instances!L29:Instances!L29),"median", MEDIAN(Instances!L29:Instances!L29),"min", MIN(Instances!L29:Instances!L29),"max", MAX(Instances!L29:Instances!L29),"diff", MAX(Instances!L29:Instances!L29)-MIN(Instances!L29:Instances!L29))</f>
        <v>0</v>
      </c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 cm="1">
        <f t="array" ref="O29">_xlfn.SWITCH($A$2,"average", AVERAGE(Instances!O29:Instances!O29),"median", MEDIAN(Instances!O29:Instances!O29),"min", MIN(Instances!O29:Instances!O29),"max", MAX(Instances!O29:Instances!O29),"diff", MAX(Instances!O29:Instances!O29)-MIN(Instances!O29:Instances!O29))</f>
        <v>0</v>
      </c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/>
      <c r="S29" s="1" cm="1">
        <f t="array" ref="S29">_xlfn.SWITCH($A$2,"average", AVERAGE(Instances!S29:Instances!S29),"median", MEDIAN(Instances!S29:Instances!S29),"min", MIN(Instances!S29:Instances!S29),"max", MAX(Instances!S29:Instances!S29),"diff", MAX(Instances!S29:Instances!S29)-MIN(Instances!S29:Instances!S29))</f>
        <v>0</v>
      </c>
      <c r="T29" s="1" cm="1">
        <f t="array" ref="T29">_xlfn.SWITCH($A$2,"average", AVERAGE(Instances!T29:Instances!T29),"median", MEDIAN(Instances!T29:Instances!T29),"min", MIN(Instances!T29:Instances!T29),"max", MAX(Instances!T29:Instances!T29),"diff", MAX(Instances!T29:Instances!T29)-MIN(Instances!T29:Instances!T29))</f>
        <v>0</v>
      </c>
      <c r="U29" s="1" cm="1">
        <f t="array" ref="U29">_xlfn.SWITCH($A$2,"average", AVERAGE(Instances!U29:Instances!U29),"median", MEDIAN(Instances!U29:Instances!U29),"min", MIN(Instances!U29:Instances!U29),"max", MAX(Instances!U29:Instances!U29),"diff", MAX(Instances!U29:Instances!U29)-MIN(Instances!U29:Instances!U29))</f>
        <v>0</v>
      </c>
      <c r="V29" s="1" cm="1">
        <f t="array" ref="V29">_xlfn.SWITCH($A$2,"average", AVERAGE(Instances!V29:Instances!V29),"median", MEDIAN(Instances!V29:Instances!V29),"min", MIN(Instances!V29:Instances!V29),"max", MAX(Instances!V29:Instances!V29),"diff", MAX(Instances!V29:Instances!V29)-MIN(Instances!V29:Instances!V29))</f>
        <v>0</v>
      </c>
      <c r="W29" s="1">
        <f>MIN($B29,$I29,$P29)</f>
        <v>0</v>
      </c>
      <c r="X29" s="1">
        <f>MIN($C29,$J29,$Q29)</f>
        <v>0</v>
      </c>
      <c r="Y29" s="1">
        <f>MIN($E29,$L29,$S29)</f>
        <v>0</v>
      </c>
      <c r="Z29" s="1">
        <f>MIN($F29,$M29,$T29)</f>
        <v>0</v>
      </c>
      <c r="AA29" s="1">
        <f>MIN($G29,$N29,$U29)</f>
        <v>0</v>
      </c>
      <c r="AB29" s="1">
        <f>MIN($H29,$O29,$V29)</f>
        <v>0</v>
      </c>
      <c r="AC29" s="1">
        <f>MEDIAN($B29,$I29,$P29)</f>
        <v>0</v>
      </c>
      <c r="AD29" s="1">
        <f>MEDIAN($C29,$J29,$Q29)</f>
        <v>0</v>
      </c>
      <c r="AE29" s="1">
        <f>MEDIAN($E29,$L29,$S29)</f>
        <v>0</v>
      </c>
      <c r="AF29" s="1">
        <f>MEDIAN($F29,$M29,$T29)</f>
        <v>0</v>
      </c>
      <c r="AG29" s="1">
        <f>MEDIAN($G29,$N29,$U29)</f>
        <v>0</v>
      </c>
      <c r="AH29" s="1">
        <f>MEDIAN($H29,$O29,$V29)</f>
        <v>0</v>
      </c>
      <c r="AI29" s="1">
        <f>MAX($B29,$I29,$P29)</f>
        <v>0</v>
      </c>
      <c r="AJ29" s="1">
        <f>MAX($C29,$J29,$Q29)</f>
        <v>0</v>
      </c>
      <c r="AK29" s="1">
        <f>MAX($E29,$L29,$S29)</f>
        <v>0</v>
      </c>
      <c r="AL29" s="1">
        <f>MAX($F29,$M29,$T29)</f>
        <v>0</v>
      </c>
      <c r="AM29" s="1">
        <f>MAX($G29,$N29,$U29)</f>
        <v>0</v>
      </c>
      <c r="AN29" s="1">
        <f>MAX($H29,$O29,$V29)</f>
        <v>0</v>
      </c>
    </row>
    <row r="30" spans="1:40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/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/>
      <c r="K30" s="1"/>
      <c r="L30" s="1"/>
      <c r="M30" s="1"/>
      <c r="N30" s="1"/>
      <c r="O30" s="1" cm="1">
        <f t="array" ref="O30">_xlfn.SWITCH($A$2,"average", AVERAGE(Instances!O30:Instances!O30),"median", MEDIAN(Instances!O30:Instances!O30),"min", MIN(Instances!O30:Instances!O30),"max", MAX(Instances!O30:Instances!O30),"diff", MAX(Instances!O30:Instances!O30)-MIN(Instances!O30:Instances!O30))</f>
        <v>0</v>
      </c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/>
      <c r="S30" s="1" cm="1">
        <f t="array" ref="S30">_xlfn.SWITCH($A$2,"average", AVERAGE(Instances!S30:Instances!S30),"median", MEDIAN(Instances!S30:Instances!S30),"min", MIN(Instances!S30:Instances!S30),"max", MAX(Instances!S30:Instances!S30),"diff", MAX(Instances!S30:Instances!S30)-MIN(Instances!S30:Instances!S30))</f>
        <v>0</v>
      </c>
      <c r="T30" s="1" cm="1">
        <f t="array" ref="T30">_xlfn.SWITCH($A$2,"average", AVERAGE(Instances!T30:Instances!T30),"median", MEDIAN(Instances!T30:Instances!T30),"min", MIN(Instances!T30:Instances!T30),"max", MAX(Instances!T30:Instances!T30),"diff", MAX(Instances!T30:Instances!T30)-MIN(Instances!T30:Instances!T30))</f>
        <v>0</v>
      </c>
      <c r="U30" s="1" cm="1">
        <f t="array" ref="U30">_xlfn.SWITCH($A$2,"average", AVERAGE(Instances!U30:Instances!U30),"median", MEDIAN(Instances!U30:Instances!U30),"min", MIN(Instances!U30:Instances!U30),"max", MAX(Instances!U30:Instances!U30),"diff", MAX(Instances!U30:Instances!U30)-MIN(Instances!U30:Instances!U30))</f>
        <v>0</v>
      </c>
      <c r="V30" s="1" cm="1">
        <f t="array" ref="V30">_xlfn.SWITCH($A$2,"average", AVERAGE(Instances!V30:Instances!V30),"median", MEDIAN(Instances!V30:Instances!V30),"min", MIN(Instances!V30:Instances!V30),"max", MAX(Instances!V30:Instances!V30),"diff", MAX(Instances!V30:Instances!V30)-MIN(Instances!V30:Instances!V30))</f>
        <v>0</v>
      </c>
      <c r="W30" s="1">
        <f>MIN($B30,$I30,$P30)</f>
        <v>0</v>
      </c>
      <c r="X30" s="1">
        <f>MIN($C30,$J30,$Q30)</f>
        <v>0</v>
      </c>
      <c r="Y30" s="1">
        <f>MIN($E30,$L30,$S30)</f>
        <v>0</v>
      </c>
      <c r="Z30" s="1">
        <f>MIN($F30,$M30,$T30)</f>
        <v>0</v>
      </c>
      <c r="AA30" s="1">
        <f>MIN($G30,$N30,$U30)</f>
        <v>0</v>
      </c>
      <c r="AB30" s="1">
        <f>MIN($H30,$O30,$V30)</f>
        <v>0</v>
      </c>
      <c r="AC30" s="1">
        <f>MEDIAN($B30,$I30,$P30)</f>
        <v>0</v>
      </c>
      <c r="AD30" s="1">
        <f>MEDIAN($C30,$J30,$Q30)</f>
        <v>0</v>
      </c>
      <c r="AE30" s="1">
        <f>MEDIAN($E30,$L30,$S30)</f>
        <v>0</v>
      </c>
      <c r="AF30" s="1">
        <f>MEDIAN($F30,$M30,$T30)</f>
        <v>0</v>
      </c>
      <c r="AG30" s="1">
        <f>MEDIAN($G30,$N30,$U30)</f>
        <v>0</v>
      </c>
      <c r="AH30" s="1">
        <f>MEDIAN($H30,$O30,$V30)</f>
        <v>0</v>
      </c>
      <c r="AI30" s="1">
        <f>MAX($B30,$I30,$P30)</f>
        <v>0</v>
      </c>
      <c r="AJ30" s="1">
        <f>MAX($C30,$J30,$Q30)</f>
        <v>0</v>
      </c>
      <c r="AK30" s="1">
        <f>MAX($E30,$L30,$S30)</f>
        <v>0</v>
      </c>
      <c r="AL30" s="1">
        <f>MAX($F30,$M30,$T30)</f>
        <v>0</v>
      </c>
      <c r="AM30" s="1">
        <f>MAX($G30,$N30,$U30)</f>
        <v>0</v>
      </c>
      <c r="AN30" s="1">
        <f>MAX($H30,$O30,$V30)</f>
        <v>0</v>
      </c>
    </row>
    <row r="31" spans="1:40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/>
      <c r="D31" s="1"/>
      <c r="E31" s="1"/>
      <c r="F31" s="1"/>
      <c r="G31" s="1"/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/>
      <c r="L31" s="1" cm="1">
        <f t="array" ref="L31">_xlfn.SWITCH($A$2,"average", AVERAGE(Instances!L31:Instances!L31),"median", MEDIAN(Instances!L31:Instances!L31),"min", MIN(Instances!L31:Instances!L31),"max", MAX(Instances!L31:Instances!L31),"diff", MAX(Instances!L31:Instances!L31)-MIN(Instances!L31:Instances!L31))</f>
        <v>0</v>
      </c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 cm="1">
        <f t="array" ref="O31">_xlfn.SWITCH($A$2,"average", AVERAGE(Instances!O31:Instances!O31),"median", MEDIAN(Instances!O31:Instances!O31),"min", MIN(Instances!O31:Instances!O31),"max", MAX(Instances!O31:Instances!O31),"diff", MAX(Instances!O31:Instances!O31)-MIN(Instances!O31:Instances!O31))</f>
        <v>0</v>
      </c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/>
      <c r="S31" s="1" cm="1">
        <f t="array" ref="S31">_xlfn.SWITCH($A$2,"average", AVERAGE(Instances!S31:Instances!S31),"median", MEDIAN(Instances!S31:Instances!S31),"min", MIN(Instances!S31:Instances!S31),"max", MAX(Instances!S31:Instances!S31),"diff", MAX(Instances!S31:Instances!S31)-MIN(Instances!S31:Instances!S31))</f>
        <v>0</v>
      </c>
      <c r="T31" s="1" cm="1">
        <f t="array" ref="T31">_xlfn.SWITCH($A$2,"average", AVERAGE(Instances!T31:Instances!T31),"median", MEDIAN(Instances!T31:Instances!T31),"min", MIN(Instances!T31:Instances!T31),"max", MAX(Instances!T31:Instances!T31),"diff", MAX(Instances!T31:Instances!T31)-MIN(Instances!T31:Instances!T31))</f>
        <v>0</v>
      </c>
      <c r="U31" s="1" cm="1">
        <f t="array" ref="U31">_xlfn.SWITCH($A$2,"average", AVERAGE(Instances!U31:Instances!U31),"median", MEDIAN(Instances!U31:Instances!U31),"min", MIN(Instances!U31:Instances!U31),"max", MAX(Instances!U31:Instances!U31),"diff", MAX(Instances!U31:Instances!U31)-MIN(Instances!U31:Instances!U31))</f>
        <v>0</v>
      </c>
      <c r="V31" s="1" cm="1">
        <f t="array" ref="V31">_xlfn.SWITCH($A$2,"average", AVERAGE(Instances!V31:Instances!V31),"median", MEDIAN(Instances!V31:Instances!V31),"min", MIN(Instances!V31:Instances!V31),"max", MAX(Instances!V31:Instances!V31),"diff", MAX(Instances!V31:Instances!V31)-MIN(Instances!V31:Instances!V31))</f>
        <v>0</v>
      </c>
      <c r="W31" s="1">
        <f>MIN($B31,$I31,$P31)</f>
        <v>0</v>
      </c>
      <c r="X31" s="1">
        <f>MIN($C31,$J31,$Q31)</f>
        <v>0</v>
      </c>
      <c r="Y31" s="1">
        <f>MIN($E31,$L31,$S31)</f>
        <v>0</v>
      </c>
      <c r="Z31" s="1">
        <f>MIN($F31,$M31,$T31)</f>
        <v>0</v>
      </c>
      <c r="AA31" s="1">
        <f>MIN($G31,$N31,$U31)</f>
        <v>0</v>
      </c>
      <c r="AB31" s="1">
        <f>MIN($H31,$O31,$V31)</f>
        <v>0</v>
      </c>
      <c r="AC31" s="1">
        <f>MEDIAN($B31,$I31,$P31)</f>
        <v>0</v>
      </c>
      <c r="AD31" s="1">
        <f>MEDIAN($C31,$J31,$Q31)</f>
        <v>0</v>
      </c>
      <c r="AE31" s="1">
        <f>MEDIAN($E31,$L31,$S31)</f>
        <v>0</v>
      </c>
      <c r="AF31" s="1">
        <f>MEDIAN($F31,$M31,$T31)</f>
        <v>0</v>
      </c>
      <c r="AG31" s="1">
        <f>MEDIAN($G31,$N31,$U31)</f>
        <v>0</v>
      </c>
      <c r="AH31" s="1">
        <f>MEDIAN($H31,$O31,$V31)</f>
        <v>0</v>
      </c>
      <c r="AI31" s="1">
        <f>MAX($B31,$I31,$P31)</f>
        <v>0</v>
      </c>
      <c r="AJ31" s="1">
        <f>MAX($C31,$J31,$Q31)</f>
        <v>0</v>
      </c>
      <c r="AK31" s="1">
        <f>MAX($E31,$L31,$S31)</f>
        <v>0</v>
      </c>
      <c r="AL31" s="1">
        <f>MAX($F31,$M31,$T31)</f>
        <v>0</v>
      </c>
      <c r="AM31" s="1">
        <f>MAX($G31,$N31,$U31)</f>
        <v>0</v>
      </c>
      <c r="AN31" s="1">
        <f>MAX($H31,$O31,$V31)</f>
        <v>0</v>
      </c>
    </row>
    <row r="32" spans="1:40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/>
      <c r="D32" s="1"/>
      <c r="E32" s="1"/>
      <c r="F32" s="1"/>
      <c r="G32" s="1"/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/>
      <c r="K32" s="1"/>
      <c r="L32" s="1"/>
      <c r="M32" s="1"/>
      <c r="N32" s="1"/>
      <c r="O32" s="1" cm="1">
        <f t="array" ref="O32">_xlfn.SWITCH($A$2,"average", AVERAGE(Instances!O32:Instances!O32),"median", MEDIAN(Instances!O32:Instances!O32),"min", MIN(Instances!O32:Instances!O32),"max", MAX(Instances!O32:Instances!O32),"diff", MAX(Instances!O32:Instances!O32)-MIN(Instances!O32:Instances!O32))</f>
        <v>0</v>
      </c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/>
      <c r="S32" s="1" cm="1">
        <f t="array" ref="S32">_xlfn.SWITCH($A$2,"average", AVERAGE(Instances!S32:Instances!S32),"median", MEDIAN(Instances!S32:Instances!S32),"min", MIN(Instances!S32:Instances!S32),"max", MAX(Instances!S32:Instances!S32),"diff", MAX(Instances!S32:Instances!S32)-MIN(Instances!S32:Instances!S32))</f>
        <v>0</v>
      </c>
      <c r="T32" s="1" cm="1">
        <f t="array" ref="T32">_xlfn.SWITCH($A$2,"average", AVERAGE(Instances!T32:Instances!T32),"median", MEDIAN(Instances!T32:Instances!T32),"min", MIN(Instances!T32:Instances!T32),"max", MAX(Instances!T32:Instances!T32),"diff", MAX(Instances!T32:Instances!T32)-MIN(Instances!T32:Instances!T32))</f>
        <v>0</v>
      </c>
      <c r="U32" s="1" cm="1">
        <f t="array" ref="U32">_xlfn.SWITCH($A$2,"average", AVERAGE(Instances!U32:Instances!U32),"median", MEDIAN(Instances!U32:Instances!U32),"min", MIN(Instances!U32:Instances!U32),"max", MAX(Instances!U32:Instances!U32),"diff", MAX(Instances!U32:Instances!U32)-MIN(Instances!U32:Instances!U32))</f>
        <v>0</v>
      </c>
      <c r="V32" s="1" cm="1">
        <f t="array" ref="V32">_xlfn.SWITCH($A$2,"average", AVERAGE(Instances!V32:Instances!V32),"median", MEDIAN(Instances!V32:Instances!V32),"min", MIN(Instances!V32:Instances!V32),"max", MAX(Instances!V32:Instances!V32),"diff", MAX(Instances!V32:Instances!V32)-MIN(Instances!V32:Instances!V32))</f>
        <v>0</v>
      </c>
      <c r="W32" s="1">
        <f>MIN($B32,$I32,$P32)</f>
        <v>0</v>
      </c>
      <c r="X32" s="1">
        <f>MIN($C32,$J32,$Q32)</f>
        <v>0</v>
      </c>
      <c r="Y32" s="1">
        <f>MIN($E32,$L32,$S32)</f>
        <v>0</v>
      </c>
      <c r="Z32" s="1">
        <f>MIN($F32,$M32,$T32)</f>
        <v>0</v>
      </c>
      <c r="AA32" s="1">
        <f>MIN($G32,$N32,$U32)</f>
        <v>0</v>
      </c>
      <c r="AB32" s="1">
        <f>MIN($H32,$O32,$V32)</f>
        <v>0</v>
      </c>
      <c r="AC32" s="1">
        <f>MEDIAN($B32,$I32,$P32)</f>
        <v>0</v>
      </c>
      <c r="AD32" s="1">
        <f>MEDIAN($C32,$J32,$Q32)</f>
        <v>0</v>
      </c>
      <c r="AE32" s="1">
        <f>MEDIAN($E32,$L32,$S32)</f>
        <v>0</v>
      </c>
      <c r="AF32" s="1">
        <f>MEDIAN($F32,$M32,$T32)</f>
        <v>0</v>
      </c>
      <c r="AG32" s="1">
        <f>MEDIAN($G32,$N32,$U32)</f>
        <v>0</v>
      </c>
      <c r="AH32" s="1">
        <f>MEDIAN($H32,$O32,$V32)</f>
        <v>0</v>
      </c>
      <c r="AI32" s="1">
        <f>MAX($B32,$I32,$P32)</f>
        <v>0</v>
      </c>
      <c r="AJ32" s="1">
        <f>MAX($C32,$J32,$Q32)</f>
        <v>0</v>
      </c>
      <c r="AK32" s="1">
        <f>MAX($E32,$L32,$S32)</f>
        <v>0</v>
      </c>
      <c r="AL32" s="1">
        <f>MAX($F32,$M32,$T32)</f>
        <v>0</v>
      </c>
      <c r="AM32" s="1">
        <f>MAX($G32,$N32,$U32)</f>
        <v>0</v>
      </c>
      <c r="AN32" s="1">
        <f>MAX($H32,$O32,$V32)</f>
        <v>0</v>
      </c>
    </row>
    <row r="33" spans="1:40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/>
      <c r="D33" s="1"/>
      <c r="E33" s="1"/>
      <c r="F33" s="1"/>
      <c r="G33" s="1"/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/>
      <c r="L33" s="1" cm="1">
        <f t="array" ref="L33">_xlfn.SWITCH($A$2,"average", AVERAGE(Instances!L33:Instances!L33),"median", MEDIAN(Instances!L33:Instances!L33),"min", MIN(Instances!L33:Instances!L33),"max", MAX(Instances!L33:Instances!L33),"diff", MAX(Instances!L33:Instances!L33)-MIN(Instances!L33:Instances!L33))</f>
        <v>0</v>
      </c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 cm="1">
        <f t="array" ref="O33">_xlfn.SWITCH($A$2,"average", AVERAGE(Instances!O33:Instances!O33),"median", MEDIAN(Instances!O33:Instances!O33),"min", MIN(Instances!O33:Instances!O33),"max", MAX(Instances!O33:Instances!O33),"diff", MAX(Instances!O33:Instances!O33)-MIN(Instances!O33:Instances!O33))</f>
        <v>0</v>
      </c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/>
      <c r="S33" s="1" cm="1">
        <f t="array" ref="S33">_xlfn.SWITCH($A$2,"average", AVERAGE(Instances!S33:Instances!S33),"median", MEDIAN(Instances!S33:Instances!S33),"min", MIN(Instances!S33:Instances!S33),"max", MAX(Instances!S33:Instances!S33),"diff", MAX(Instances!S33:Instances!S33)-MIN(Instances!S33:Instances!S33))</f>
        <v>0</v>
      </c>
      <c r="T33" s="1" cm="1">
        <f t="array" ref="T33">_xlfn.SWITCH($A$2,"average", AVERAGE(Instances!T33:Instances!T33),"median", MEDIAN(Instances!T33:Instances!T33),"min", MIN(Instances!T33:Instances!T33),"max", MAX(Instances!T33:Instances!T33),"diff", MAX(Instances!T33:Instances!T33)-MIN(Instances!T33:Instances!T33))</f>
        <v>0</v>
      </c>
      <c r="U33" s="1" cm="1">
        <f t="array" ref="U33">_xlfn.SWITCH($A$2,"average", AVERAGE(Instances!U33:Instances!U33),"median", MEDIAN(Instances!U33:Instances!U33),"min", MIN(Instances!U33:Instances!U33),"max", MAX(Instances!U33:Instances!U33),"diff", MAX(Instances!U33:Instances!U33)-MIN(Instances!U33:Instances!U33))</f>
        <v>0</v>
      </c>
      <c r="V33" s="1" cm="1">
        <f t="array" ref="V33">_xlfn.SWITCH($A$2,"average", AVERAGE(Instances!V33:Instances!V33),"median", MEDIAN(Instances!V33:Instances!V33),"min", MIN(Instances!V33:Instances!V33),"max", MAX(Instances!V33:Instances!V33),"diff", MAX(Instances!V33:Instances!V33)-MIN(Instances!V33:Instances!V33))</f>
        <v>0</v>
      </c>
      <c r="W33" s="1">
        <f>MIN($B33,$I33,$P33)</f>
        <v>0</v>
      </c>
      <c r="X33" s="1">
        <f>MIN($C33,$J33,$Q33)</f>
        <v>0</v>
      </c>
      <c r="Y33" s="1">
        <f>MIN($E33,$L33,$S33)</f>
        <v>0</v>
      </c>
      <c r="Z33" s="1">
        <f>MIN($F33,$M33,$T33)</f>
        <v>0</v>
      </c>
      <c r="AA33" s="1">
        <f>MIN($G33,$N33,$U33)</f>
        <v>0</v>
      </c>
      <c r="AB33" s="1">
        <f>MIN($H33,$O33,$V33)</f>
        <v>0</v>
      </c>
      <c r="AC33" s="1">
        <f>MEDIAN($B33,$I33,$P33)</f>
        <v>0</v>
      </c>
      <c r="AD33" s="1">
        <f>MEDIAN($C33,$J33,$Q33)</f>
        <v>0</v>
      </c>
      <c r="AE33" s="1">
        <f>MEDIAN($E33,$L33,$S33)</f>
        <v>0</v>
      </c>
      <c r="AF33" s="1">
        <f>MEDIAN($F33,$M33,$T33)</f>
        <v>0</v>
      </c>
      <c r="AG33" s="1">
        <f>MEDIAN($G33,$N33,$U33)</f>
        <v>0</v>
      </c>
      <c r="AH33" s="1">
        <f>MEDIAN($H33,$O33,$V33)</f>
        <v>0</v>
      </c>
      <c r="AI33" s="1">
        <f>MAX($B33,$I33,$P33)</f>
        <v>0</v>
      </c>
      <c r="AJ33" s="1">
        <f>MAX($C33,$J33,$Q33)</f>
        <v>0</v>
      </c>
      <c r="AK33" s="1">
        <f>MAX($E33,$L33,$S33)</f>
        <v>0</v>
      </c>
      <c r="AL33" s="1">
        <f>MAX($F33,$M33,$T33)</f>
        <v>0</v>
      </c>
      <c r="AM33" s="1">
        <f>MAX($G33,$N33,$U33)</f>
        <v>0</v>
      </c>
      <c r="AN33" s="1">
        <f>MAX($H33,$O33,$V33)</f>
        <v>0</v>
      </c>
    </row>
    <row r="34" spans="1:40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/>
      <c r="D34" s="1"/>
      <c r="E34" s="1"/>
      <c r="F34" s="1"/>
      <c r="G34" s="1"/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/>
      <c r="L34" s="1" cm="1">
        <f t="array" ref="L34">_xlfn.SWITCH($A$2,"average", AVERAGE(Instances!L34:Instances!L34),"median", MEDIAN(Instances!L34:Instances!L34),"min", MIN(Instances!L34:Instances!L34),"max", MAX(Instances!L34:Instances!L34),"diff", MAX(Instances!L34:Instances!L34)-MIN(Instances!L34:Instances!L34))</f>
        <v>0</v>
      </c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 cm="1">
        <f t="array" ref="O34">_xlfn.SWITCH($A$2,"average", AVERAGE(Instances!O34:Instances!O34),"median", MEDIAN(Instances!O34:Instances!O34),"min", MIN(Instances!O34:Instances!O34),"max", MAX(Instances!O34:Instances!O34),"diff", MAX(Instances!O34:Instances!O34)-MIN(Instances!O34:Instances!O34))</f>
        <v>0</v>
      </c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/>
      <c r="S34" s="1" cm="1">
        <f t="array" ref="S34">_xlfn.SWITCH($A$2,"average", AVERAGE(Instances!S34:Instances!S34),"median", MEDIAN(Instances!S34:Instances!S34),"min", MIN(Instances!S34:Instances!S34),"max", MAX(Instances!S34:Instances!S34),"diff", MAX(Instances!S34:Instances!S34)-MIN(Instances!S34:Instances!S34))</f>
        <v>0</v>
      </c>
      <c r="T34" s="1" cm="1">
        <f t="array" ref="T34">_xlfn.SWITCH($A$2,"average", AVERAGE(Instances!T34:Instances!T34),"median", MEDIAN(Instances!T34:Instances!T34),"min", MIN(Instances!T34:Instances!T34),"max", MAX(Instances!T34:Instances!T34),"diff", MAX(Instances!T34:Instances!T34)-MIN(Instances!T34:Instances!T34))</f>
        <v>0</v>
      </c>
      <c r="U34" s="1" cm="1">
        <f t="array" ref="U34">_xlfn.SWITCH($A$2,"average", AVERAGE(Instances!U34:Instances!U34),"median", MEDIAN(Instances!U34:Instances!U34),"min", MIN(Instances!U34:Instances!U34),"max", MAX(Instances!U34:Instances!U34),"diff", MAX(Instances!U34:Instances!U34)-MIN(Instances!U34:Instances!U34))</f>
        <v>0</v>
      </c>
      <c r="V34" s="1" cm="1">
        <f t="array" ref="V34">_xlfn.SWITCH($A$2,"average", AVERAGE(Instances!V34:Instances!V34),"median", MEDIAN(Instances!V34:Instances!V34),"min", MIN(Instances!V34:Instances!V34),"max", MAX(Instances!V34:Instances!V34),"diff", MAX(Instances!V34:Instances!V34)-MIN(Instances!V34:Instances!V34))</f>
        <v>0</v>
      </c>
      <c r="W34" s="1">
        <f>MIN($B34,$I34,$P34)</f>
        <v>0</v>
      </c>
      <c r="X34" s="1">
        <f>MIN($C34,$J34,$Q34)</f>
        <v>0</v>
      </c>
      <c r="Y34" s="1">
        <f>MIN($E34,$L34,$S34)</f>
        <v>0</v>
      </c>
      <c r="Z34" s="1">
        <f>MIN($F34,$M34,$T34)</f>
        <v>0</v>
      </c>
      <c r="AA34" s="1">
        <f>MIN($G34,$N34,$U34)</f>
        <v>0</v>
      </c>
      <c r="AB34" s="1">
        <f>MIN($H34,$O34,$V34)</f>
        <v>0</v>
      </c>
      <c r="AC34" s="1">
        <f>MEDIAN($B34,$I34,$P34)</f>
        <v>0</v>
      </c>
      <c r="AD34" s="1">
        <f>MEDIAN($C34,$J34,$Q34)</f>
        <v>0</v>
      </c>
      <c r="AE34" s="1">
        <f>MEDIAN($E34,$L34,$S34)</f>
        <v>0</v>
      </c>
      <c r="AF34" s="1">
        <f>MEDIAN($F34,$M34,$T34)</f>
        <v>0</v>
      </c>
      <c r="AG34" s="1">
        <f>MEDIAN($G34,$N34,$U34)</f>
        <v>0</v>
      </c>
      <c r="AH34" s="1">
        <f>MEDIAN($H34,$O34,$V34)</f>
        <v>0</v>
      </c>
      <c r="AI34" s="1">
        <f>MAX($B34,$I34,$P34)</f>
        <v>0</v>
      </c>
      <c r="AJ34" s="1">
        <f>MAX($C34,$J34,$Q34)</f>
        <v>0</v>
      </c>
      <c r="AK34" s="1">
        <f>MAX($E34,$L34,$S34)</f>
        <v>0</v>
      </c>
      <c r="AL34" s="1">
        <f>MAX($F34,$M34,$T34)</f>
        <v>0</v>
      </c>
      <c r="AM34" s="1">
        <f>MAX($G34,$N34,$U34)</f>
        <v>0</v>
      </c>
      <c r="AN34" s="1">
        <f>MAX($H34,$O34,$V34)</f>
        <v>0</v>
      </c>
    </row>
    <row r="35" spans="1:40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/>
      <c r="D35" s="1"/>
      <c r="E35" s="1"/>
      <c r="F35" s="1"/>
      <c r="G35" s="1"/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/>
      <c r="L35" s="1" cm="1">
        <f t="array" ref="L35">_xlfn.SWITCH($A$2,"average", AVERAGE(Instances!L35:Instances!L35),"median", MEDIAN(Instances!L35:Instances!L35),"min", MIN(Instances!L35:Instances!L35),"max", MAX(Instances!L35:Instances!L35),"diff", MAX(Instances!L35:Instances!L35)-MIN(Instances!L35:Instances!L35))</f>
        <v>0</v>
      </c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 cm="1">
        <f t="array" ref="O35">_xlfn.SWITCH($A$2,"average", AVERAGE(Instances!O35:Instances!O35),"median", MEDIAN(Instances!O35:Instances!O35),"min", MIN(Instances!O35:Instances!O35),"max", MAX(Instances!O35:Instances!O35),"diff", MAX(Instances!O35:Instances!O35)-MIN(Instances!O35:Instances!O35))</f>
        <v>0</v>
      </c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/>
      <c r="S35" s="1" cm="1">
        <f t="array" ref="S35">_xlfn.SWITCH($A$2,"average", AVERAGE(Instances!S35:Instances!S35),"median", MEDIAN(Instances!S35:Instances!S35),"min", MIN(Instances!S35:Instances!S35),"max", MAX(Instances!S35:Instances!S35),"diff", MAX(Instances!S35:Instances!S35)-MIN(Instances!S35:Instances!S35))</f>
        <v>0</v>
      </c>
      <c r="T35" s="1" cm="1">
        <f t="array" ref="T35">_xlfn.SWITCH($A$2,"average", AVERAGE(Instances!T35:Instances!T35),"median", MEDIAN(Instances!T35:Instances!T35),"min", MIN(Instances!T35:Instances!T35),"max", MAX(Instances!T35:Instances!T35),"diff", MAX(Instances!T35:Instances!T35)-MIN(Instances!T35:Instances!T35))</f>
        <v>0</v>
      </c>
      <c r="U35" s="1" cm="1">
        <f t="array" ref="U35">_xlfn.SWITCH($A$2,"average", AVERAGE(Instances!U35:Instances!U35),"median", MEDIAN(Instances!U35:Instances!U35),"min", MIN(Instances!U35:Instances!U35),"max", MAX(Instances!U35:Instances!U35),"diff", MAX(Instances!U35:Instances!U35)-MIN(Instances!U35:Instances!U35))</f>
        <v>0</v>
      </c>
      <c r="V35" s="1" cm="1">
        <f t="array" ref="V35">_xlfn.SWITCH($A$2,"average", AVERAGE(Instances!V35:Instances!V35),"median", MEDIAN(Instances!V35:Instances!V35),"min", MIN(Instances!V35:Instances!V35),"max", MAX(Instances!V35:Instances!V35),"diff", MAX(Instances!V35:Instances!V35)-MIN(Instances!V35:Instances!V35))</f>
        <v>0</v>
      </c>
      <c r="W35" s="1">
        <f>MIN($B35,$I35,$P35)</f>
        <v>0</v>
      </c>
      <c r="X35" s="1">
        <f>MIN($C35,$J35,$Q35)</f>
        <v>0</v>
      </c>
      <c r="Y35" s="1">
        <f>MIN($E35,$L35,$S35)</f>
        <v>0</v>
      </c>
      <c r="Z35" s="1">
        <f>MIN($F35,$M35,$T35)</f>
        <v>0</v>
      </c>
      <c r="AA35" s="1">
        <f>MIN($G35,$N35,$U35)</f>
        <v>0</v>
      </c>
      <c r="AB35" s="1">
        <f>MIN($H35,$O35,$V35)</f>
        <v>0</v>
      </c>
      <c r="AC35" s="1">
        <f>MEDIAN($B35,$I35,$P35)</f>
        <v>0</v>
      </c>
      <c r="AD35" s="1">
        <f>MEDIAN($C35,$J35,$Q35)</f>
        <v>0</v>
      </c>
      <c r="AE35" s="1">
        <f>MEDIAN($E35,$L35,$S35)</f>
        <v>0</v>
      </c>
      <c r="AF35" s="1">
        <f>MEDIAN($F35,$M35,$T35)</f>
        <v>0</v>
      </c>
      <c r="AG35" s="1">
        <f>MEDIAN($G35,$N35,$U35)</f>
        <v>0</v>
      </c>
      <c r="AH35" s="1">
        <f>MEDIAN($H35,$O35,$V35)</f>
        <v>0</v>
      </c>
      <c r="AI35" s="1">
        <f>MAX($B35,$I35,$P35)</f>
        <v>0</v>
      </c>
      <c r="AJ35" s="1">
        <f>MAX($C35,$J35,$Q35)</f>
        <v>0</v>
      </c>
      <c r="AK35" s="1">
        <f>MAX($E35,$L35,$S35)</f>
        <v>0</v>
      </c>
      <c r="AL35" s="1">
        <f>MAX($F35,$M35,$T35)</f>
        <v>0</v>
      </c>
      <c r="AM35" s="1">
        <f>MAX($G35,$N35,$U35)</f>
        <v>0</v>
      </c>
      <c r="AN35" s="1">
        <f>MAX($H35,$O35,$V35)</f>
        <v>0</v>
      </c>
    </row>
    <row r="36" spans="1:40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/>
      <c r="D36" s="1"/>
      <c r="E36" s="1"/>
      <c r="F36" s="1"/>
      <c r="G36" s="1"/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/>
      <c r="L36" s="1" cm="1">
        <f t="array" ref="L36">_xlfn.SWITCH($A$2,"average", AVERAGE(Instances!L36:Instances!L36),"median", MEDIAN(Instances!L36:Instances!L36),"min", MIN(Instances!L36:Instances!L36),"max", MAX(Instances!L36:Instances!L36),"diff", MAX(Instances!L36:Instances!L36)-MIN(Instances!L36:Instances!L36))</f>
        <v>0</v>
      </c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 cm="1">
        <f t="array" ref="O36">_xlfn.SWITCH($A$2,"average", AVERAGE(Instances!O36:Instances!O36),"median", MEDIAN(Instances!O36:Instances!O36),"min", MIN(Instances!O36:Instances!O36),"max", MAX(Instances!O36:Instances!O36),"diff", MAX(Instances!O36:Instances!O36)-MIN(Instances!O36:Instances!O36))</f>
        <v>0</v>
      </c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/>
      <c r="S36" s="1" cm="1">
        <f t="array" ref="S36">_xlfn.SWITCH($A$2,"average", AVERAGE(Instances!S36:Instances!S36),"median", MEDIAN(Instances!S36:Instances!S36),"min", MIN(Instances!S36:Instances!S36),"max", MAX(Instances!S36:Instances!S36),"diff", MAX(Instances!S36:Instances!S36)-MIN(Instances!S36:Instances!S36))</f>
        <v>0</v>
      </c>
      <c r="T36" s="1" cm="1">
        <f t="array" ref="T36">_xlfn.SWITCH($A$2,"average", AVERAGE(Instances!T36:Instances!T36),"median", MEDIAN(Instances!T36:Instances!T36),"min", MIN(Instances!T36:Instances!T36),"max", MAX(Instances!T36:Instances!T36),"diff", MAX(Instances!T36:Instances!T36)-MIN(Instances!T36:Instances!T36))</f>
        <v>0</v>
      </c>
      <c r="U36" s="1" cm="1">
        <f t="array" ref="U36">_xlfn.SWITCH($A$2,"average", AVERAGE(Instances!U36:Instances!U36),"median", MEDIAN(Instances!U36:Instances!U36),"min", MIN(Instances!U36:Instances!U36),"max", MAX(Instances!U36:Instances!U36),"diff", MAX(Instances!U36:Instances!U36)-MIN(Instances!U36:Instances!U36))</f>
        <v>0</v>
      </c>
      <c r="V36" s="1" cm="1">
        <f t="array" ref="V36">_xlfn.SWITCH($A$2,"average", AVERAGE(Instances!V36:Instances!V36),"median", MEDIAN(Instances!V36:Instances!V36),"min", MIN(Instances!V36:Instances!V36),"max", MAX(Instances!V36:Instances!V36),"diff", MAX(Instances!V36:Instances!V36)-MIN(Instances!V36:Instances!V36))</f>
        <v>0</v>
      </c>
      <c r="W36" s="1">
        <f>MIN($B36,$I36,$P36)</f>
        <v>0</v>
      </c>
      <c r="X36" s="1">
        <f>MIN($C36,$J36,$Q36)</f>
        <v>0</v>
      </c>
      <c r="Y36" s="1">
        <f>MIN($E36,$L36,$S36)</f>
        <v>0</v>
      </c>
      <c r="Z36" s="1">
        <f>MIN($F36,$M36,$T36)</f>
        <v>0</v>
      </c>
      <c r="AA36" s="1">
        <f>MIN($G36,$N36,$U36)</f>
        <v>0</v>
      </c>
      <c r="AB36" s="1">
        <f>MIN($H36,$O36,$V36)</f>
        <v>0</v>
      </c>
      <c r="AC36" s="1">
        <f>MEDIAN($B36,$I36,$P36)</f>
        <v>0</v>
      </c>
      <c r="AD36" s="1">
        <f>MEDIAN($C36,$J36,$Q36)</f>
        <v>0</v>
      </c>
      <c r="AE36" s="1">
        <f>MEDIAN($E36,$L36,$S36)</f>
        <v>0</v>
      </c>
      <c r="AF36" s="1">
        <f>MEDIAN($F36,$M36,$T36)</f>
        <v>0</v>
      </c>
      <c r="AG36" s="1">
        <f>MEDIAN($G36,$N36,$U36)</f>
        <v>0</v>
      </c>
      <c r="AH36" s="1">
        <f>MEDIAN($H36,$O36,$V36)</f>
        <v>0</v>
      </c>
      <c r="AI36" s="1">
        <f>MAX($B36,$I36,$P36)</f>
        <v>0</v>
      </c>
      <c r="AJ36" s="1">
        <f>MAX($C36,$J36,$Q36)</f>
        <v>0</v>
      </c>
      <c r="AK36" s="1">
        <f>MAX($E36,$L36,$S36)</f>
        <v>0</v>
      </c>
      <c r="AL36" s="1">
        <f>MAX($F36,$M36,$T36)</f>
        <v>0</v>
      </c>
      <c r="AM36" s="1">
        <f>MAX($G36,$N36,$U36)</f>
        <v>0</v>
      </c>
      <c r="AN36" s="1">
        <f>MAX($H36,$O36,$V36)</f>
        <v>0</v>
      </c>
    </row>
    <row r="37" spans="1:40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/>
      <c r="D37" s="1"/>
      <c r="E37" s="1"/>
      <c r="F37" s="1"/>
      <c r="G37" s="1"/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/>
      <c r="L37" s="1" cm="1">
        <f t="array" ref="L37">_xlfn.SWITCH($A$2,"average", AVERAGE(Instances!L37:Instances!L37),"median", MEDIAN(Instances!L37:Instances!L37),"min", MIN(Instances!L37:Instances!L37),"max", MAX(Instances!L37:Instances!L37),"diff", MAX(Instances!L37:Instances!L37)-MIN(Instances!L37:Instances!L37))</f>
        <v>0</v>
      </c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 cm="1">
        <f t="array" ref="O37">_xlfn.SWITCH($A$2,"average", AVERAGE(Instances!O37:Instances!O37),"median", MEDIAN(Instances!O37:Instances!O37),"min", MIN(Instances!O37:Instances!O37),"max", MAX(Instances!O37:Instances!O37),"diff", MAX(Instances!O37:Instances!O37)-MIN(Instances!O37:Instances!O37))</f>
        <v>0</v>
      </c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/>
      <c r="S37" s="1" cm="1">
        <f t="array" ref="S37">_xlfn.SWITCH($A$2,"average", AVERAGE(Instances!S37:Instances!S37),"median", MEDIAN(Instances!S37:Instances!S37),"min", MIN(Instances!S37:Instances!S37),"max", MAX(Instances!S37:Instances!S37),"diff", MAX(Instances!S37:Instances!S37)-MIN(Instances!S37:Instances!S37))</f>
        <v>0</v>
      </c>
      <c r="T37" s="1" cm="1">
        <f t="array" ref="T37">_xlfn.SWITCH($A$2,"average", AVERAGE(Instances!T37:Instances!T37),"median", MEDIAN(Instances!T37:Instances!T37),"min", MIN(Instances!T37:Instances!T37),"max", MAX(Instances!T37:Instances!T37),"diff", MAX(Instances!T37:Instances!T37)-MIN(Instances!T37:Instances!T37))</f>
        <v>0</v>
      </c>
      <c r="U37" s="1" cm="1">
        <f t="array" ref="U37">_xlfn.SWITCH($A$2,"average", AVERAGE(Instances!U37:Instances!U37),"median", MEDIAN(Instances!U37:Instances!U37),"min", MIN(Instances!U37:Instances!U37),"max", MAX(Instances!U37:Instances!U37),"diff", MAX(Instances!U37:Instances!U37)-MIN(Instances!U37:Instances!U37))</f>
        <v>0</v>
      </c>
      <c r="V37" s="1" cm="1">
        <f t="array" ref="V37">_xlfn.SWITCH($A$2,"average", AVERAGE(Instances!V37:Instances!V37),"median", MEDIAN(Instances!V37:Instances!V37),"min", MIN(Instances!V37:Instances!V37),"max", MAX(Instances!V37:Instances!V37),"diff", MAX(Instances!V37:Instances!V37)-MIN(Instances!V37:Instances!V37))</f>
        <v>0</v>
      </c>
      <c r="W37" s="1">
        <f>MIN($B37,$I37,$P37)</f>
        <v>0</v>
      </c>
      <c r="X37" s="1">
        <f>MIN($C37,$J37,$Q37)</f>
        <v>0</v>
      </c>
      <c r="Y37" s="1">
        <f>MIN($E37,$L37,$S37)</f>
        <v>0</v>
      </c>
      <c r="Z37" s="1">
        <f>MIN($F37,$M37,$T37)</f>
        <v>0</v>
      </c>
      <c r="AA37" s="1">
        <f>MIN($G37,$N37,$U37)</f>
        <v>0</v>
      </c>
      <c r="AB37" s="1">
        <f>MIN($H37,$O37,$V37)</f>
        <v>0</v>
      </c>
      <c r="AC37" s="1">
        <f>MEDIAN($B37,$I37,$P37)</f>
        <v>0</v>
      </c>
      <c r="AD37" s="1">
        <f>MEDIAN($C37,$J37,$Q37)</f>
        <v>0</v>
      </c>
      <c r="AE37" s="1">
        <f>MEDIAN($E37,$L37,$S37)</f>
        <v>0</v>
      </c>
      <c r="AF37" s="1">
        <f>MEDIAN($F37,$M37,$T37)</f>
        <v>0</v>
      </c>
      <c r="AG37" s="1">
        <f>MEDIAN($G37,$N37,$U37)</f>
        <v>0</v>
      </c>
      <c r="AH37" s="1">
        <f>MEDIAN($H37,$O37,$V37)</f>
        <v>0</v>
      </c>
      <c r="AI37" s="1">
        <f>MAX($B37,$I37,$P37)</f>
        <v>0</v>
      </c>
      <c r="AJ37" s="1">
        <f>MAX($C37,$J37,$Q37)</f>
        <v>0</v>
      </c>
      <c r="AK37" s="1">
        <f>MAX($E37,$L37,$S37)</f>
        <v>0</v>
      </c>
      <c r="AL37" s="1">
        <f>MAX($F37,$M37,$T37)</f>
        <v>0</v>
      </c>
      <c r="AM37" s="1">
        <f>MAX($G37,$N37,$U37)</f>
        <v>0</v>
      </c>
      <c r="AN37" s="1">
        <f>MAX($H37,$O37,$V37)</f>
        <v>0</v>
      </c>
    </row>
    <row r="38" spans="1:40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/>
      <c r="D38" s="1"/>
      <c r="E38" s="1"/>
      <c r="F38" s="1"/>
      <c r="G38" s="1"/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/>
      <c r="K38" s="1"/>
      <c r="L38" s="1"/>
      <c r="M38" s="1"/>
      <c r="N38" s="1"/>
      <c r="O38" s="1" cm="1">
        <f t="array" ref="O38">_xlfn.SWITCH($A$2,"average", AVERAGE(Instances!O38:Instances!O38),"median", MEDIAN(Instances!O38:Instances!O38),"min", MIN(Instances!O38:Instances!O38),"max", MAX(Instances!O38:Instances!O38),"diff", MAX(Instances!O38:Instances!O38)-MIN(Instances!O38:Instances!O38))</f>
        <v>0</v>
      </c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/>
      <c r="S38" s="1" cm="1">
        <f t="array" ref="S38">_xlfn.SWITCH($A$2,"average", AVERAGE(Instances!S38:Instances!S38),"median", MEDIAN(Instances!S38:Instances!S38),"min", MIN(Instances!S38:Instances!S38),"max", MAX(Instances!S38:Instances!S38),"diff", MAX(Instances!S38:Instances!S38)-MIN(Instances!S38:Instances!S38))</f>
        <v>0</v>
      </c>
      <c r="T38" s="1" cm="1">
        <f t="array" ref="T38">_xlfn.SWITCH($A$2,"average", AVERAGE(Instances!T38:Instances!T38),"median", MEDIAN(Instances!T38:Instances!T38),"min", MIN(Instances!T38:Instances!T38),"max", MAX(Instances!T38:Instances!T38),"diff", MAX(Instances!T38:Instances!T38)-MIN(Instances!T38:Instances!T38))</f>
        <v>0</v>
      </c>
      <c r="U38" s="1" cm="1">
        <f t="array" ref="U38">_xlfn.SWITCH($A$2,"average", AVERAGE(Instances!U38:Instances!U38),"median", MEDIAN(Instances!U38:Instances!U38),"min", MIN(Instances!U38:Instances!U38),"max", MAX(Instances!U38:Instances!U38),"diff", MAX(Instances!U38:Instances!U38)-MIN(Instances!U38:Instances!U38))</f>
        <v>0</v>
      </c>
      <c r="V38" s="1" cm="1">
        <f t="array" ref="V38">_xlfn.SWITCH($A$2,"average", AVERAGE(Instances!V38:Instances!V38),"median", MEDIAN(Instances!V38:Instances!V38),"min", MIN(Instances!V38:Instances!V38),"max", MAX(Instances!V38:Instances!V38),"diff", MAX(Instances!V38:Instances!V38)-MIN(Instances!V38:Instances!V38))</f>
        <v>0</v>
      </c>
      <c r="W38" s="1">
        <f>MIN($B38,$I38,$P38)</f>
        <v>0</v>
      </c>
      <c r="X38" s="1">
        <f>MIN($C38,$J38,$Q38)</f>
        <v>0</v>
      </c>
      <c r="Y38" s="1">
        <f>MIN($E38,$L38,$S38)</f>
        <v>0</v>
      </c>
      <c r="Z38" s="1">
        <f>MIN($F38,$M38,$T38)</f>
        <v>0</v>
      </c>
      <c r="AA38" s="1">
        <f>MIN($G38,$N38,$U38)</f>
        <v>0</v>
      </c>
      <c r="AB38" s="1">
        <f>MIN($H38,$O38,$V38)</f>
        <v>0</v>
      </c>
      <c r="AC38" s="1">
        <f>MEDIAN($B38,$I38,$P38)</f>
        <v>0</v>
      </c>
      <c r="AD38" s="1">
        <f>MEDIAN($C38,$J38,$Q38)</f>
        <v>0</v>
      </c>
      <c r="AE38" s="1">
        <f>MEDIAN($E38,$L38,$S38)</f>
        <v>0</v>
      </c>
      <c r="AF38" s="1">
        <f>MEDIAN($F38,$M38,$T38)</f>
        <v>0</v>
      </c>
      <c r="AG38" s="1">
        <f>MEDIAN($G38,$N38,$U38)</f>
        <v>0</v>
      </c>
      <c r="AH38" s="1">
        <f>MEDIAN($H38,$O38,$V38)</f>
        <v>0</v>
      </c>
      <c r="AI38" s="1">
        <f>MAX($B38,$I38,$P38)</f>
        <v>0</v>
      </c>
      <c r="AJ38" s="1">
        <f>MAX($C38,$J38,$Q38)</f>
        <v>0</v>
      </c>
      <c r="AK38" s="1">
        <f>MAX($E38,$L38,$S38)</f>
        <v>0</v>
      </c>
      <c r="AL38" s="1">
        <f>MAX($F38,$M38,$T38)</f>
        <v>0</v>
      </c>
      <c r="AM38" s="1">
        <f>MAX($G38,$N38,$U38)</f>
        <v>0</v>
      </c>
      <c r="AN38" s="1">
        <f>MAX($H38,$O38,$V38)</f>
        <v>0</v>
      </c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>
        <f>SUM(I$3:I$38)</f>
        <v>0</v>
      </c>
      <c r="J40" s="1">
        <f>SUM(J$3:J$38)</f>
        <v>0</v>
      </c>
      <c r="K40" s="1"/>
      <c r="L40" s="1">
        <f>SUM(L$3:L$38)</f>
        <v>0</v>
      </c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/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  <c r="AC40" s="1">
        <f>SUM(AC$3:AC$38)</f>
        <v>0</v>
      </c>
      <c r="AD40" s="1">
        <f>SUM(AD$3:AD$38)</f>
        <v>0</v>
      </c>
      <c r="AE40" s="1">
        <f>SUM(AE$3:AE$38)</f>
        <v>0</v>
      </c>
      <c r="AF40" s="1">
        <f>SUM(AF$3:AF$38)</f>
        <v>0</v>
      </c>
      <c r="AG40" s="1">
        <f>SUM(AG$3:AG$38)</f>
        <v>0</v>
      </c>
      <c r="AH40" s="1">
        <f>SUM(AH$3:AH$38)</f>
        <v>0</v>
      </c>
      <c r="AI40" s="1">
        <f>SUM(AI$3:AI$38)</f>
        <v>0</v>
      </c>
      <c r="AJ40" s="1">
        <f>SUM(AJ$3:AJ$38)</f>
        <v>0</v>
      </c>
      <c r="AK40" s="1">
        <f>SUM(AK$3:AK$38)</f>
        <v>0</v>
      </c>
      <c r="AL40" s="1">
        <f>SUM(AL$3:AL$38)</f>
        <v>0</v>
      </c>
      <c r="AM40" s="1">
        <f>SUM(AM$3:AM$38)</f>
        <v>0</v>
      </c>
      <c r="AN40" s="1">
        <f>SUM(AN$3:AN$38)</f>
        <v>0</v>
      </c>
    </row>
    <row r="41" spans="1:40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>
        <f>AVERAGE(I$3:I$38)</f>
        <v>0</v>
      </c>
      <c r="J41" s="1">
        <f>AVERAGE(J$3:J$38)</f>
        <v>0</v>
      </c>
      <c r="K41" s="1"/>
      <c r="L41" s="1">
        <f>AVERAGE(L$3:L$38)</f>
        <v>0</v>
      </c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/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  <c r="AC41" s="1">
        <f>AVERAGE(AC$3:AC$38)</f>
        <v>0</v>
      </c>
      <c r="AD41" s="1">
        <f>AVERAGE(AD$3:AD$38)</f>
        <v>0</v>
      </c>
      <c r="AE41" s="1">
        <f>AVERAGE(AE$3:AE$38)</f>
        <v>0</v>
      </c>
      <c r="AF41" s="1">
        <f>AVERAGE(AF$3:AF$38)</f>
        <v>0</v>
      </c>
      <c r="AG41" s="1">
        <f>AVERAGE(AG$3:AG$38)</f>
        <v>0</v>
      </c>
      <c r="AH41" s="1">
        <f>AVERAGE(AH$3:AH$38)</f>
        <v>0</v>
      </c>
      <c r="AI41" s="1">
        <f>AVERAGE(AI$3:AI$38)</f>
        <v>0</v>
      </c>
      <c r="AJ41" s="1">
        <f>AVERAGE(AJ$3:AJ$38)</f>
        <v>0</v>
      </c>
      <c r="AK41" s="1">
        <f>AVERAGE(AK$3:AK$38)</f>
        <v>0</v>
      </c>
      <c r="AL41" s="1">
        <f>AVERAGE(AL$3:AL$38)</f>
        <v>0</v>
      </c>
      <c r="AM41" s="1">
        <f>AVERAGE(AM$3:AM$38)</f>
        <v>0</v>
      </c>
      <c r="AN41" s="1">
        <f>AVERAGE(AN$3:AN$38)</f>
        <v>0</v>
      </c>
    </row>
    <row r="42" spans="1:40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>
        <f>STDEV(I$3:I$38)</f>
        <v>0</v>
      </c>
      <c r="J42" s="1">
        <f>STDEV(J$3:J$38)</f>
        <v>0</v>
      </c>
      <c r="K42" s="1"/>
      <c r="L42" s="1">
        <f>STDEV(L$3:L$38)</f>
        <v>0</v>
      </c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/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  <c r="AC42" s="1">
        <f>STDEV(AC$3:AC$38)</f>
        <v>0</v>
      </c>
      <c r="AD42" s="1">
        <f>STDEV(AD$3:AD$38)</f>
        <v>0</v>
      </c>
      <c r="AE42" s="1">
        <f>STDEV(AE$3:AE$38)</f>
        <v>0</v>
      </c>
      <c r="AF42" s="1">
        <f>STDEV(AF$3:AF$38)</f>
        <v>0</v>
      </c>
      <c r="AG42" s="1">
        <f>STDEV(AG$3:AG$38)</f>
        <v>0</v>
      </c>
      <c r="AH42" s="1">
        <f>STDEV(AH$3:AH$38)</f>
        <v>0</v>
      </c>
      <c r="AI42" s="1">
        <f>STDEV(AI$3:AI$38)</f>
        <v>0</v>
      </c>
      <c r="AJ42" s="1">
        <f>STDEV(AJ$3:AJ$38)</f>
        <v>0</v>
      </c>
      <c r="AK42" s="1">
        <f>STDEV(AK$3:AK$38)</f>
        <v>0</v>
      </c>
      <c r="AL42" s="1">
        <f>STDEV(AL$3:AL$38)</f>
        <v>0</v>
      </c>
      <c r="AM42" s="1">
        <f>STDEV(AM$3:AM$38)</f>
        <v>0</v>
      </c>
      <c r="AN42" s="1">
        <f>STDEV(AN$3:AN$38)</f>
        <v>0</v>
      </c>
    </row>
    <row r="43" spans="1:40">
      <c r="A43" s="1" t="s">
        <v>39</v>
      </c>
      <c r="B43" s="1">
        <f>SUMPRODUCT(--(B$3:B$38-$W$3:$W$38)^2)^0.5</f>
        <v>0</v>
      </c>
      <c r="C43" s="1">
        <f>SUMPRODUCT(--(C$3:C$38-$X$3:$X$38)^2)^0.5</f>
        <v>0</v>
      </c>
      <c r="D43" s="1"/>
      <c r="E43" s="1">
        <f>SUMPRODUCT(--(E$3:E$38-$Y$3:$Y$38)^2)^0.5</f>
        <v>0</v>
      </c>
      <c r="F43" s="1">
        <f>SUMPRODUCT(--(F$3:F$38-$Z$3:$Z$38)^2)^0.5</f>
        <v>0</v>
      </c>
      <c r="G43" s="1">
        <f>SUMPRODUCT(--(G$3:G$38-$AA$3:$AA$38)^2)^0.5</f>
        <v>0</v>
      </c>
      <c r="H43" s="1">
        <f>SUMPRODUCT(--(H$3:H$38-$AB$3:$AB$38)^2)^0.5</f>
        <v>0</v>
      </c>
      <c r="I43" s="1">
        <f>SUMPRODUCT(--(I$3:I$38-$W$3:$W$38)^2)^0.5</f>
        <v>0</v>
      </c>
      <c r="J43" s="1">
        <f>SUMPRODUCT(--(J$3:J$38-$X$3:$X$38)^2)^0.5</f>
        <v>0</v>
      </c>
      <c r="K43" s="1"/>
      <c r="L43" s="1">
        <f>SUMPRODUCT(--(L$3:L$38-$Y$3:$Y$38)^2)^0.5</f>
        <v>0</v>
      </c>
      <c r="M43" s="1">
        <f>SUMPRODUCT(--(M$3:M$38-$Z$3:$Z$38)^2)^0.5</f>
        <v>0</v>
      </c>
      <c r="N43" s="1">
        <f>SUMPRODUCT(--(N$3:N$38-$AA$3:$AA$38)^2)^0.5</f>
        <v>0</v>
      </c>
      <c r="O43" s="1">
        <f>SUMPRODUCT(--(O$3:O$38-$AB$3:$AB$38)^2)^0.5</f>
        <v>0</v>
      </c>
      <c r="P43" s="1">
        <f>SUMPRODUCT(--(P$3:P$38-$W$3:$W$38)^2)^0.5</f>
        <v>0</v>
      </c>
      <c r="Q43" s="1">
        <f>SUMPRODUCT(--(Q$3:Q$38-$X$3:$X$38)^2)^0.5</f>
        <v>0</v>
      </c>
      <c r="R43" s="1"/>
      <c r="S43" s="1">
        <f>SUMPRODUCT(--(S$3:S$38-$Y$3:$Y$38)^2)^0.5</f>
        <v>0</v>
      </c>
      <c r="T43" s="1">
        <f>SUMPRODUCT(--(T$3:T$38-$Z$3:$Z$38)^2)^0.5</f>
        <v>0</v>
      </c>
      <c r="U43" s="1">
        <f>SUMPRODUCT(--(U$3:U$38-$AA$3:$AA$38)^2)^0.5</f>
        <v>0</v>
      </c>
      <c r="V43" s="1">
        <f>SUMPRODUCT(--(V$3:V$38-$AB$3:$AB$38)^2)^0.5</f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 t="s">
        <v>40</v>
      </c>
      <c r="B44" s="1">
        <f>SUMPRODUCT(NOT(ISBLANK(B$3:B$38))*(B$3:B$38=$W$3:$W$38))</f>
        <v>0</v>
      </c>
      <c r="C44" s="1">
        <f>SUMPRODUCT(NOT(ISBLANK(C$3:C$38))*(C$3:C$38=$X$3:$X$38))</f>
        <v>0</v>
      </c>
      <c r="D44" s="1"/>
      <c r="E44" s="1">
        <f>SUMPRODUCT(NOT(ISBLANK(E$3:E$38))*(E$3:E$38=$Y$3:$Y$38))</f>
        <v>0</v>
      </c>
      <c r="F44" s="1">
        <f>SUMPRODUCT(NOT(ISBLANK(F$3:F$38))*(F$3:F$38=$Z$3:$Z$38))</f>
        <v>0</v>
      </c>
      <c r="G44" s="1">
        <f>SUMPRODUCT(NOT(ISBLANK(G$3:G$38))*(G$3:G$38=$AA$3:$AA$38))</f>
        <v>0</v>
      </c>
      <c r="H44" s="1">
        <f>SUMPRODUCT(NOT(ISBLANK(H$3:H$38))*(H$3:H$38=$AB$3:$AB$38))</f>
        <v>0</v>
      </c>
      <c r="I44" s="1">
        <f>SUMPRODUCT(NOT(ISBLANK(I$3:I$38))*(I$3:I$38=$W$3:$W$38))</f>
        <v>0</v>
      </c>
      <c r="J44" s="1">
        <f>SUMPRODUCT(NOT(ISBLANK(J$3:J$38))*(J$3:J$38=$X$3:$X$38))</f>
        <v>0</v>
      </c>
      <c r="K44" s="1"/>
      <c r="L44" s="1">
        <f>SUMPRODUCT(NOT(ISBLANK(L$3:L$38))*(L$3:L$38=$Y$3:$Y$38))</f>
        <v>0</v>
      </c>
      <c r="M44" s="1">
        <f>SUMPRODUCT(NOT(ISBLANK(M$3:M$38))*(M$3:M$38=$Z$3:$Z$38))</f>
        <v>0</v>
      </c>
      <c r="N44" s="1">
        <f>SUMPRODUCT(NOT(ISBLANK(N$3:N$38))*(N$3:N$38=$AA$3:$AA$38))</f>
        <v>0</v>
      </c>
      <c r="O44" s="1">
        <f>SUMPRODUCT(NOT(ISBLANK(O$3:O$38))*(O$3:O$38=$AB$3:$AB$38))</f>
        <v>0</v>
      </c>
      <c r="P44" s="1">
        <f>SUMPRODUCT(NOT(ISBLANK(P$3:P$38))*(P$3:P$38=$W$3:$W$38))</f>
        <v>0</v>
      </c>
      <c r="Q44" s="1">
        <f>SUMPRODUCT(NOT(ISBLANK(Q$3:Q$38))*(Q$3:Q$38=$X$3:$X$38))</f>
        <v>0</v>
      </c>
      <c r="R44" s="1"/>
      <c r="S44" s="1">
        <f>SUMPRODUCT(NOT(ISBLANK(S$3:S$38))*(S$3:S$38=$Y$3:$Y$38))</f>
        <v>0</v>
      </c>
      <c r="T44" s="1">
        <f>SUMPRODUCT(NOT(ISBLANK(T$3:T$38))*(T$3:T$38=$Z$3:$Z$38))</f>
        <v>0</v>
      </c>
      <c r="U44" s="1">
        <f>SUMPRODUCT(NOT(ISBLANK(U$3:U$38))*(U$3:U$38=$AA$3:$AA$38))</f>
        <v>0</v>
      </c>
      <c r="V44" s="1">
        <f>SUMPRODUCT(NOT(ISBLANK(V$3:V$38))*(V$3:V$38=$AB$3:$AB$38))</f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 t="s">
        <v>41</v>
      </c>
      <c r="B45" s="1">
        <f>SUMPRODUCT(NOT(ISBLANK(B$3:B$38))*(B$3:B$38&lt;$AC$3:$AC$38))</f>
        <v>0</v>
      </c>
      <c r="C45" s="1">
        <f>SUMPRODUCT(NOT(ISBLANK(C$3:C$38))*(C$3:C$38&lt;$AD$3:$AD$38))</f>
        <v>0</v>
      </c>
      <c r="D45" s="1"/>
      <c r="E45" s="1">
        <f>SUMPRODUCT(NOT(ISBLANK(E$3:E$38))*(E$3:E$38&lt;$AE$3:$AE$38))</f>
        <v>0</v>
      </c>
      <c r="F45" s="1">
        <f>SUMPRODUCT(NOT(ISBLANK(F$3:F$38))*(F$3:F$38&lt;$AF$3:$AF$38))</f>
        <v>0</v>
      </c>
      <c r="G45" s="1">
        <f>SUMPRODUCT(NOT(ISBLANK(G$3:G$38))*(G$3:G$38&lt;$AG$3:$AG$38))</f>
        <v>0</v>
      </c>
      <c r="H45" s="1">
        <f>SUMPRODUCT(NOT(ISBLANK(H$3:H$38))*(H$3:H$38&lt;$AH$3:$AH$38))</f>
        <v>0</v>
      </c>
      <c r="I45" s="1">
        <f>SUMPRODUCT(NOT(ISBLANK(I$3:I$38))*(I$3:I$38&lt;$AC$3:$AC$38))</f>
        <v>0</v>
      </c>
      <c r="J45" s="1">
        <f>SUMPRODUCT(NOT(ISBLANK(J$3:J$38))*(J$3:J$38&lt;$AD$3:$AD$38))</f>
        <v>0</v>
      </c>
      <c r="K45" s="1"/>
      <c r="L45" s="1">
        <f>SUMPRODUCT(NOT(ISBLANK(L$3:L$38))*(L$3:L$38&lt;$AE$3:$AE$38))</f>
        <v>0</v>
      </c>
      <c r="M45" s="1">
        <f>SUMPRODUCT(NOT(ISBLANK(M$3:M$38))*(M$3:M$38&lt;$AF$3:$AF$38))</f>
        <v>0</v>
      </c>
      <c r="N45" s="1">
        <f>SUMPRODUCT(NOT(ISBLANK(N$3:N$38))*(N$3:N$38&lt;$AG$3:$AG$38))</f>
        <v>0</v>
      </c>
      <c r="O45" s="1">
        <f>SUMPRODUCT(NOT(ISBLANK(O$3:O$38))*(O$3:O$38&lt;$AH$3:$AH$38))</f>
        <v>0</v>
      </c>
      <c r="P45" s="1">
        <f>SUMPRODUCT(NOT(ISBLANK(P$3:P$38))*(P$3:P$38&lt;$AC$3:$AC$38))</f>
        <v>0</v>
      </c>
      <c r="Q45" s="1">
        <f>SUMPRODUCT(NOT(ISBLANK(Q$3:Q$38))*(Q$3:Q$38&lt;$AD$3:$AD$38))</f>
        <v>0</v>
      </c>
      <c r="R45" s="1"/>
      <c r="S45" s="1">
        <f>SUMPRODUCT(NOT(ISBLANK(S$3:S$38))*(S$3:S$38&lt;$AE$3:$AE$38))</f>
        <v>0</v>
      </c>
      <c r="T45" s="1">
        <f>SUMPRODUCT(NOT(ISBLANK(T$3:T$38))*(T$3:T$38&lt;$AF$3:$AF$38))</f>
        <v>0</v>
      </c>
      <c r="U45" s="1">
        <f>SUMPRODUCT(NOT(ISBLANK(U$3:U$38))*(U$3:U$38&lt;$AG$3:$AG$38))</f>
        <v>0</v>
      </c>
      <c r="V45" s="1">
        <f>SUMPRODUCT(NOT(ISBLANK(V$3:V$38))*(V$3:V$38&lt;$AH$3:$AH$38))</f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 t="s">
        <v>42</v>
      </c>
      <c r="B46" s="1">
        <f>SUMPRODUCT((NOT(ISBLANK(B$3:B$38))*(B$3:B$38&gt;$AC$3:$AC$38))+ISBLANK(B$3:B$38))</f>
        <v>0</v>
      </c>
      <c r="C46" s="1">
        <f>SUMPRODUCT((NOT(ISBLANK(C$3:C$38))*(C$3:C$38&gt;$AD$3:$AD$38))+ISBLANK(C$3:C$38))</f>
        <v>0</v>
      </c>
      <c r="D46" s="1"/>
      <c r="E46" s="1">
        <f>SUMPRODUCT((NOT(ISBLANK(E$3:E$38))*(E$3:E$38&gt;$AE$3:$AE$38))+ISBLANK(E$3:E$38))</f>
        <v>0</v>
      </c>
      <c r="F46" s="1">
        <f>SUMPRODUCT((NOT(ISBLANK(F$3:F$38))*(F$3:F$38&gt;$AF$3:$AF$38))+ISBLANK(F$3:F$38))</f>
        <v>0</v>
      </c>
      <c r="G46" s="1">
        <f>SUMPRODUCT((NOT(ISBLANK(G$3:G$38))*(G$3:G$38&gt;$AG$3:$AG$38))+ISBLANK(G$3:G$38))</f>
        <v>0</v>
      </c>
      <c r="H46" s="1">
        <f>SUMPRODUCT((NOT(ISBLANK(H$3:H$38))*(H$3:H$38&gt;$AH$3:$AH$38))+ISBLANK(H$3:H$38))</f>
        <v>0</v>
      </c>
      <c r="I46" s="1">
        <f>SUMPRODUCT((NOT(ISBLANK(I$3:I$38))*(I$3:I$38&gt;$AC$3:$AC$38))+ISBLANK(I$3:I$38))</f>
        <v>0</v>
      </c>
      <c r="J46" s="1">
        <f>SUMPRODUCT((NOT(ISBLANK(J$3:J$38))*(J$3:J$38&gt;$AD$3:$AD$38))+ISBLANK(J$3:J$38))</f>
        <v>0</v>
      </c>
      <c r="K46" s="1"/>
      <c r="L46" s="1">
        <f>SUMPRODUCT((NOT(ISBLANK(L$3:L$38))*(L$3:L$38&gt;$AE$3:$AE$38))+ISBLANK(L$3:L$38))</f>
        <v>0</v>
      </c>
      <c r="M46" s="1">
        <f>SUMPRODUCT((NOT(ISBLANK(M$3:M$38))*(M$3:M$38&gt;$AF$3:$AF$38))+ISBLANK(M$3:M$38))</f>
        <v>0</v>
      </c>
      <c r="N46" s="1">
        <f>SUMPRODUCT((NOT(ISBLANK(N$3:N$38))*(N$3:N$38&gt;$AG$3:$AG$38))+ISBLANK(N$3:N$38))</f>
        <v>0</v>
      </c>
      <c r="O46" s="1">
        <f>SUMPRODUCT((NOT(ISBLANK(O$3:O$38))*(O$3:O$38&gt;$AH$3:$AH$38))+ISBLANK(O$3:O$38))</f>
        <v>0</v>
      </c>
      <c r="P46" s="1">
        <f>SUMPRODUCT((NOT(ISBLANK(P$3:P$38))*(P$3:P$38&gt;$AC$3:$AC$38))+ISBLANK(P$3:P$38))</f>
        <v>0</v>
      </c>
      <c r="Q46" s="1">
        <f>SUMPRODUCT((NOT(ISBLANK(Q$3:Q$38))*(Q$3:Q$38&gt;$AD$3:$AD$38))+ISBLANK(Q$3:Q$38))</f>
        <v>0</v>
      </c>
      <c r="R46" s="1"/>
      <c r="S46" s="1">
        <f>SUMPRODUCT((NOT(ISBLANK(S$3:S$38))*(S$3:S$38&gt;$AE$3:$AE$38))+ISBLANK(S$3:S$38))</f>
        <v>0</v>
      </c>
      <c r="T46" s="1">
        <f>SUMPRODUCT((NOT(ISBLANK(T$3:T$38))*(T$3:T$38&gt;$AF$3:$AF$38))+ISBLANK(T$3:T$38))</f>
        <v>0</v>
      </c>
      <c r="U46" s="1">
        <f>SUMPRODUCT((NOT(ISBLANK(U$3:U$38))*(U$3:U$38&gt;$AG$3:$AG$38))+ISBLANK(U$3:U$38))</f>
        <v>0</v>
      </c>
      <c r="V46" s="1">
        <f>SUMPRODUCT((NOT(ISBLANK(V$3:V$38))*(V$3:V$38&gt;$AH$3:$AH$38))+ISBLANK(V$3:V$38))</f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 t="s">
        <v>43</v>
      </c>
      <c r="B47" s="1">
        <f>SUMPRODUCT((NOT(ISBLANK(B$3:B$38))*(B$3:B$38=$AI$3:$AI$38))+ISBLANK(B$3:B$38))</f>
        <v>0</v>
      </c>
      <c r="C47" s="1">
        <f>SUMPRODUCT((NOT(ISBLANK(C$3:C$38))*(C$3:C$38=$AJ$3:$AJ$38))+ISBLANK(C$3:C$38))</f>
        <v>0</v>
      </c>
      <c r="D47" s="1"/>
      <c r="E47" s="1">
        <f>SUMPRODUCT((NOT(ISBLANK(E$3:E$38))*(E$3:E$38=$AK$3:$AK$38))+ISBLANK(E$3:E$38))</f>
        <v>0</v>
      </c>
      <c r="F47" s="1">
        <f>SUMPRODUCT((NOT(ISBLANK(F$3:F$38))*(F$3:F$38=$AL$3:$AL$38))+ISBLANK(F$3:F$38))</f>
        <v>0</v>
      </c>
      <c r="G47" s="1">
        <f>SUMPRODUCT((NOT(ISBLANK(G$3:G$38))*(G$3:G$38=$AM$3:$AM$38))+ISBLANK(G$3:G$38))</f>
        <v>0</v>
      </c>
      <c r="H47" s="1">
        <f>SUMPRODUCT((NOT(ISBLANK(H$3:H$38))*(H$3:H$38=$AN$3:$AN$38))+ISBLANK(H$3:H$38))</f>
        <v>0</v>
      </c>
      <c r="I47" s="1">
        <f>SUMPRODUCT((NOT(ISBLANK(I$3:I$38))*(I$3:I$38=$AI$3:$AI$38))+ISBLANK(I$3:I$38))</f>
        <v>0</v>
      </c>
      <c r="J47" s="1">
        <f>SUMPRODUCT((NOT(ISBLANK(J$3:J$38))*(J$3:J$38=$AJ$3:$AJ$38))+ISBLANK(J$3:J$38))</f>
        <v>0</v>
      </c>
      <c r="K47" s="1"/>
      <c r="L47" s="1">
        <f>SUMPRODUCT((NOT(ISBLANK(L$3:L$38))*(L$3:L$38=$AK$3:$AK$38))+ISBLANK(L$3:L$38))</f>
        <v>0</v>
      </c>
      <c r="M47" s="1">
        <f>SUMPRODUCT((NOT(ISBLANK(M$3:M$38))*(M$3:M$38=$AL$3:$AL$38))+ISBLANK(M$3:M$38))</f>
        <v>0</v>
      </c>
      <c r="N47" s="1">
        <f>SUMPRODUCT((NOT(ISBLANK(N$3:N$38))*(N$3:N$38=$AM$3:$AM$38))+ISBLANK(N$3:N$38))</f>
        <v>0</v>
      </c>
      <c r="O47" s="1">
        <f>SUMPRODUCT((NOT(ISBLANK(O$3:O$38))*(O$3:O$38=$AN$3:$AN$38))+ISBLANK(O$3:O$38))</f>
        <v>0</v>
      </c>
      <c r="P47" s="1">
        <f>SUMPRODUCT((NOT(ISBLANK(P$3:P$38))*(P$3:P$38=$AI$3:$AI$38))+ISBLANK(P$3:P$38))</f>
        <v>0</v>
      </c>
      <c r="Q47" s="1">
        <f>SUMPRODUCT((NOT(ISBLANK(Q$3:Q$38))*(Q$3:Q$38=$AJ$3:$AJ$38))+ISBLANK(Q$3:Q$38))</f>
        <v>0</v>
      </c>
      <c r="R47" s="1"/>
      <c r="S47" s="1">
        <f>SUMPRODUCT((NOT(ISBLANK(S$3:S$38))*(S$3:S$38=$AK$3:$AK$38))+ISBLANK(S$3:S$38))</f>
        <v>0</v>
      </c>
      <c r="T47" s="1">
        <f>SUMPRODUCT((NOT(ISBLANK(T$3:T$38))*(T$3:T$38=$AL$3:$AL$38))+ISBLANK(T$3:T$38))</f>
        <v>0</v>
      </c>
      <c r="U47" s="1">
        <f>SUMPRODUCT((NOT(ISBLANK(U$3:U$38))*(U$3:U$38=$AM$3:$AM$38))+ISBLANK(U$3:U$38))</f>
        <v>0</v>
      </c>
      <c r="V47" s="1">
        <f>SUMPRODUCT((NOT(ISBLANK(V$3:V$38))*(V$3:V$38=$AN$3:$AN$38))+ISBLANK(V$3:V$38))</f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0" width="11.42578125" customWidth="1"/>
  </cols>
  <sheetData>
    <row r="1" spans="1:40">
      <c r="A1" s="1"/>
      <c r="B1" s="1" t="s">
        <v>44</v>
      </c>
      <c r="C1" s="1"/>
      <c r="D1" s="1"/>
      <c r="E1" s="1"/>
      <c r="F1" s="1"/>
      <c r="G1" s="1"/>
      <c r="H1" s="1"/>
      <c r="I1" s="1" t="s">
        <v>53</v>
      </c>
      <c r="J1" s="1"/>
      <c r="K1" s="1"/>
      <c r="L1" s="1"/>
      <c r="M1" s="1"/>
      <c r="N1" s="1"/>
      <c r="O1" s="1"/>
      <c r="P1" s="1" t="s">
        <v>54</v>
      </c>
      <c r="Q1" s="1"/>
      <c r="R1" s="1"/>
      <c r="S1" s="1"/>
      <c r="T1" s="1"/>
      <c r="U1" s="1"/>
      <c r="V1" s="1"/>
      <c r="W1" s="1" t="s">
        <v>55</v>
      </c>
      <c r="X1" s="1"/>
      <c r="Y1" s="1"/>
      <c r="Z1" s="1"/>
      <c r="AA1" s="1"/>
      <c r="AB1" s="1"/>
      <c r="AC1" s="1" t="s">
        <v>56</v>
      </c>
      <c r="AD1" s="1"/>
      <c r="AE1" s="1"/>
      <c r="AF1" s="1"/>
      <c r="AG1" s="1"/>
      <c r="AH1" s="1"/>
      <c r="AI1" s="1" t="s">
        <v>57</v>
      </c>
      <c r="AJ1" s="1"/>
      <c r="AK1" s="1"/>
      <c r="AL1" s="1"/>
      <c r="AM1" s="1"/>
      <c r="AN1" s="1"/>
    </row>
    <row r="2" spans="1:40">
      <c r="A2" s="1"/>
      <c r="B2" s="1" t="s">
        <v>45</v>
      </c>
      <c r="C2" s="1" t="s">
        <v>46</v>
      </c>
      <c r="D2" s="1" t="s">
        <v>47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45</v>
      </c>
      <c r="J2" s="1" t="s">
        <v>46</v>
      </c>
      <c r="K2" s="1" t="s">
        <v>47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45</v>
      </c>
      <c r="Q2" s="1" t="s">
        <v>46</v>
      </c>
      <c r="R2" s="1" t="s">
        <v>47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45</v>
      </c>
      <c r="X2" s="1" t="s">
        <v>46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45</v>
      </c>
      <c r="AD2" s="1" t="s">
        <v>46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45</v>
      </c>
      <c r="AJ2" s="1" t="s">
        <v>46</v>
      </c>
      <c r="AK2" s="1" t="s">
        <v>49</v>
      </c>
      <c r="AL2" s="1" t="s">
        <v>50</v>
      </c>
      <c r="AM2" s="1" t="s">
        <v>51</v>
      </c>
      <c r="AN2" s="1" t="s">
        <v>52</v>
      </c>
    </row>
    <row r="3" spans="1:40">
      <c r="A3" s="1" t="s">
        <v>59</v>
      </c>
      <c r="B3" s="1">
        <f>AVERAGE(Instances!B3:Instances!B38)</f>
        <v>0</v>
      </c>
      <c r="C3" s="1">
        <f>AVERAGE(Instances!C3:Instances!C38)</f>
        <v>0</v>
      </c>
      <c r="D3" s="1"/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/>
      <c r="L3" s="1">
        <f>AVERAGE(Instances!L3:Instances!L38)</f>
        <v>0</v>
      </c>
      <c r="M3" s="1">
        <f>AVERAGE(Instances!M3:Instances!M38)</f>
        <v>0</v>
      </c>
      <c r="N3" s="1">
        <f>AVERAGE(Instances!N3:Instances!N38)</f>
        <v>0</v>
      </c>
      <c r="O3" s="1">
        <f>AVERAGE(Instances!O3:Instances!O38)</f>
        <v>0</v>
      </c>
      <c r="P3" s="1">
        <f>AVERAGE(Instances!P3:Instances!P38)</f>
        <v>0</v>
      </c>
      <c r="Q3" s="1">
        <f>AVERAGE(Instances!Q3:Instances!Q38)</f>
        <v>0</v>
      </c>
      <c r="R3" s="1"/>
      <c r="S3" s="1">
        <f>AVERAGE(Instances!S3:Instances!S38)</f>
        <v>0</v>
      </c>
      <c r="T3" s="1">
        <f>AVERAGE(Instances!T3:Instances!T38)</f>
        <v>0</v>
      </c>
      <c r="U3" s="1">
        <f>AVERAGE(Instances!U3:Instances!U38)</f>
        <v>0</v>
      </c>
      <c r="V3" s="1">
        <f>AVERAGE(Instances!V3:Instances!V38)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 t="s">
        <v>36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</row>
    <row r="6" spans="1:40">
      <c r="A6" s="1" t="s">
        <v>37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</row>
    <row r="7" spans="1:40">
      <c r="A7" s="1" t="s">
        <v>38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</row>
    <row r="8" spans="1:40">
      <c r="A8" s="1" t="s">
        <v>39</v>
      </c>
      <c r="B8" s="1">
        <f>SUMPRODUCT(--(B$3:B$3-$W$3:$W$3)^2)^0.5</f>
        <v>0</v>
      </c>
      <c r="C8" s="1">
        <f>SUMPRODUCT(--(C$3:C$3-$X$3:$X$3)^2)^0.5</f>
        <v>0</v>
      </c>
      <c r="D8" s="1"/>
      <c r="E8" s="1">
        <f>SUMPRODUCT(--(E$3:E$3-$Y$3:$Y$3)^2)^0.5</f>
        <v>0</v>
      </c>
      <c r="F8" s="1">
        <f>SUMPRODUCT(--(F$3:F$3-$Z$3:$Z$3)^2)^0.5</f>
        <v>0</v>
      </c>
      <c r="G8" s="1">
        <f>SUMPRODUCT(--(G$3:G$3-$AA$3:$AA$3)^2)^0.5</f>
        <v>0</v>
      </c>
      <c r="H8" s="1">
        <f>SUMPRODUCT(--(H$3:H$3-$AB$3:$AB$3)^2)^0.5</f>
        <v>0</v>
      </c>
      <c r="I8" s="1">
        <f>SUMPRODUCT(--(I$3:I$3-$W$3:$W$3)^2)^0.5</f>
        <v>0</v>
      </c>
      <c r="J8" s="1">
        <f>SUMPRODUCT(--(J$3:J$3-$X$3:$X$3)^2)^0.5</f>
        <v>0</v>
      </c>
      <c r="K8" s="1"/>
      <c r="L8" s="1">
        <f>SUMPRODUCT(--(L$3:L$3-$Y$3:$Y$3)^2)^0.5</f>
        <v>0</v>
      </c>
      <c r="M8" s="1">
        <f>SUMPRODUCT(--(M$3:M$3-$Z$3:$Z$3)^2)^0.5</f>
        <v>0</v>
      </c>
      <c r="N8" s="1">
        <f>SUMPRODUCT(--(N$3:N$3-$AA$3:$AA$3)^2)^0.5</f>
        <v>0</v>
      </c>
      <c r="O8" s="1">
        <f>SUMPRODUCT(--(O$3:O$3-$AB$3:$AB$3)^2)^0.5</f>
        <v>0</v>
      </c>
      <c r="P8" s="1">
        <f>SUMPRODUCT(--(P$3:P$3-$W$3:$W$3)^2)^0.5</f>
        <v>0</v>
      </c>
      <c r="Q8" s="1">
        <f>SUMPRODUCT(--(Q$3:Q$3-$X$3:$X$3)^2)^0.5</f>
        <v>0</v>
      </c>
      <c r="R8" s="1"/>
      <c r="S8" s="1">
        <f>SUMPRODUCT(--(S$3:S$3-$Y$3:$Y$3)^2)^0.5</f>
        <v>0</v>
      </c>
      <c r="T8" s="1">
        <f>SUMPRODUCT(--(T$3:T$3-$Z$3:$Z$3)^2)^0.5</f>
        <v>0</v>
      </c>
      <c r="U8" s="1">
        <f>SUMPRODUCT(--(U$3:U$3-$AA$3:$AA$3)^2)^0.5</f>
        <v>0</v>
      </c>
      <c r="V8" s="1">
        <f>SUMPRODUCT(--(V$3:V$3-$AB$3:$AB$3)^2)^0.5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 t="s">
        <v>40</v>
      </c>
      <c r="B9" s="1">
        <f>SUMPRODUCT(NOT(ISBLANK(B$3:B$3))*(B$3:B$3=$W$3:$W$3))</f>
        <v>0</v>
      </c>
      <c r="C9" s="1">
        <f>SUMPRODUCT(NOT(ISBLANK(C$3:C$3))*(C$3:C$3=$X$3:$X$3))</f>
        <v>0</v>
      </c>
      <c r="D9" s="1"/>
      <c r="E9" s="1">
        <f>SUMPRODUCT(NOT(ISBLANK(E$3:E$3))*(E$3:E$3=$Y$3:$Y$3))</f>
        <v>0</v>
      </c>
      <c r="F9" s="1">
        <f>SUMPRODUCT(NOT(ISBLANK(F$3:F$3))*(F$3:F$3=$Z$3:$Z$3))</f>
        <v>0</v>
      </c>
      <c r="G9" s="1">
        <f>SUMPRODUCT(NOT(ISBLANK(G$3:G$3))*(G$3:G$3=$AA$3:$AA$3))</f>
        <v>0</v>
      </c>
      <c r="H9" s="1">
        <f>SUMPRODUCT(NOT(ISBLANK(H$3:H$3))*(H$3:H$3=$AB$3:$AB$3))</f>
        <v>0</v>
      </c>
      <c r="I9" s="1">
        <f>SUMPRODUCT(NOT(ISBLANK(I$3:I$3))*(I$3:I$3=$W$3:$W$3))</f>
        <v>0</v>
      </c>
      <c r="J9" s="1">
        <f>SUMPRODUCT(NOT(ISBLANK(J$3:J$3))*(J$3:J$3=$X$3:$X$3))</f>
        <v>0</v>
      </c>
      <c r="K9" s="1"/>
      <c r="L9" s="1">
        <f>SUMPRODUCT(NOT(ISBLANK(L$3:L$3))*(L$3:L$3=$Y$3:$Y$3))</f>
        <v>0</v>
      </c>
      <c r="M9" s="1">
        <f>SUMPRODUCT(NOT(ISBLANK(M$3:M$3))*(M$3:M$3=$Z$3:$Z$3))</f>
        <v>0</v>
      </c>
      <c r="N9" s="1">
        <f>SUMPRODUCT(NOT(ISBLANK(N$3:N$3))*(N$3:N$3=$AA$3:$AA$3))</f>
        <v>0</v>
      </c>
      <c r="O9" s="1">
        <f>SUMPRODUCT(NOT(ISBLANK(O$3:O$3))*(O$3:O$3=$AB$3:$AB$3))</f>
        <v>0</v>
      </c>
      <c r="P9" s="1">
        <f>SUMPRODUCT(NOT(ISBLANK(P$3:P$3))*(P$3:P$3=$W$3:$W$3))</f>
        <v>0</v>
      </c>
      <c r="Q9" s="1">
        <f>SUMPRODUCT(NOT(ISBLANK(Q$3:Q$3))*(Q$3:Q$3=$X$3:$X$3))</f>
        <v>0</v>
      </c>
      <c r="R9" s="1"/>
      <c r="S9" s="1">
        <f>SUMPRODUCT(NOT(ISBLANK(S$3:S$3))*(S$3:S$3=$Y$3:$Y$3))</f>
        <v>0</v>
      </c>
      <c r="T9" s="1">
        <f>SUMPRODUCT(NOT(ISBLANK(T$3:T$3))*(T$3:T$3=$Z$3:$Z$3))</f>
        <v>0</v>
      </c>
      <c r="U9" s="1">
        <f>SUMPRODUCT(NOT(ISBLANK(U$3:U$3))*(U$3:U$3=$AA$3:$AA$3))</f>
        <v>0</v>
      </c>
      <c r="V9" s="1">
        <f>SUMPRODUCT(NOT(ISBLANK(V$3:V$3))*(V$3:V$3=$AB$3:$AB$3))</f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 t="s">
        <v>41</v>
      </c>
      <c r="B10" s="1">
        <f>SUMPRODUCT(NOT(ISBLANK(B$3:B$3))*(B$3:B$3&lt;$AC$3:$AC$3))</f>
        <v>0</v>
      </c>
      <c r="C10" s="1">
        <f>SUMPRODUCT(NOT(ISBLANK(C$3:C$3))*(C$3:C$3&lt;$AD$3:$AD$3))</f>
        <v>0</v>
      </c>
      <c r="D10" s="1"/>
      <c r="E10" s="1">
        <f>SUMPRODUCT(NOT(ISBLANK(E$3:E$3))*(E$3:E$3&lt;$AE$3:$AE$3))</f>
        <v>0</v>
      </c>
      <c r="F10" s="1">
        <f>SUMPRODUCT(NOT(ISBLANK(F$3:F$3))*(F$3:F$3&lt;$AF$3:$AF$3))</f>
        <v>0</v>
      </c>
      <c r="G10" s="1">
        <f>SUMPRODUCT(NOT(ISBLANK(G$3:G$3))*(G$3:G$3&lt;$AG$3:$AG$3))</f>
        <v>0</v>
      </c>
      <c r="H10" s="1">
        <f>SUMPRODUCT(NOT(ISBLANK(H$3:H$3))*(H$3:H$3&lt;$AH$3:$AH$3))</f>
        <v>0</v>
      </c>
      <c r="I10" s="1">
        <f>SUMPRODUCT(NOT(ISBLANK(I$3:I$3))*(I$3:I$3&lt;$AC$3:$AC$3))</f>
        <v>0</v>
      </c>
      <c r="J10" s="1">
        <f>SUMPRODUCT(NOT(ISBLANK(J$3:J$3))*(J$3:J$3&lt;$AD$3:$AD$3))</f>
        <v>0</v>
      </c>
      <c r="K10" s="1"/>
      <c r="L10" s="1">
        <f>SUMPRODUCT(NOT(ISBLANK(L$3:L$3))*(L$3:L$3&lt;$AE$3:$AE$3))</f>
        <v>0</v>
      </c>
      <c r="M10" s="1">
        <f>SUMPRODUCT(NOT(ISBLANK(M$3:M$3))*(M$3:M$3&lt;$AF$3:$AF$3))</f>
        <v>0</v>
      </c>
      <c r="N10" s="1">
        <f>SUMPRODUCT(NOT(ISBLANK(N$3:N$3))*(N$3:N$3&lt;$AG$3:$AG$3))</f>
        <v>0</v>
      </c>
      <c r="O10" s="1">
        <f>SUMPRODUCT(NOT(ISBLANK(O$3:O$3))*(O$3:O$3&lt;$AH$3:$AH$3))</f>
        <v>0</v>
      </c>
      <c r="P10" s="1">
        <f>SUMPRODUCT(NOT(ISBLANK(P$3:P$3))*(P$3:P$3&lt;$AC$3:$AC$3))</f>
        <v>0</v>
      </c>
      <c r="Q10" s="1">
        <f>SUMPRODUCT(NOT(ISBLANK(Q$3:Q$3))*(Q$3:Q$3&lt;$AD$3:$AD$3))</f>
        <v>0</v>
      </c>
      <c r="R10" s="1"/>
      <c r="S10" s="1">
        <f>SUMPRODUCT(NOT(ISBLANK(S$3:S$3))*(S$3:S$3&lt;$AE$3:$AE$3))</f>
        <v>0</v>
      </c>
      <c r="T10" s="1">
        <f>SUMPRODUCT(NOT(ISBLANK(T$3:T$3))*(T$3:T$3&lt;$AF$3:$AF$3))</f>
        <v>0</v>
      </c>
      <c r="U10" s="1">
        <f>SUMPRODUCT(NOT(ISBLANK(U$3:U$3))*(U$3:U$3&lt;$AG$3:$AG$3))</f>
        <v>0</v>
      </c>
      <c r="V10" s="1">
        <f>SUMPRODUCT(NOT(ISBLANK(V$3:V$3))*(V$3:V$3&lt;$AH$3:$AH$3))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42</v>
      </c>
      <c r="B11" s="1">
        <f>SUMPRODUCT((NOT(ISBLANK(B$3:B$3))*(B$3:B$3&gt;$AC$3:$AC$3))+ISBLANK(B$3:B$3))</f>
        <v>0</v>
      </c>
      <c r="C11" s="1">
        <f>SUMPRODUCT((NOT(ISBLANK(C$3:C$3))*(C$3:C$3&gt;$AD$3:$AD$3))+ISBLANK(C$3:C$3))</f>
        <v>0</v>
      </c>
      <c r="D11" s="1"/>
      <c r="E11" s="1">
        <f>SUMPRODUCT((NOT(ISBLANK(E$3:E$3))*(E$3:E$3&gt;$AE$3:$AE$3))+ISBLANK(E$3:E$3))</f>
        <v>0</v>
      </c>
      <c r="F11" s="1">
        <f>SUMPRODUCT((NOT(ISBLANK(F$3:F$3))*(F$3:F$3&gt;$AF$3:$AF$3))+ISBLANK(F$3:F$3))</f>
        <v>0</v>
      </c>
      <c r="G11" s="1">
        <f>SUMPRODUCT((NOT(ISBLANK(G$3:G$3))*(G$3:G$3&gt;$AG$3:$AG$3))+ISBLANK(G$3:G$3))</f>
        <v>0</v>
      </c>
      <c r="H11" s="1">
        <f>SUMPRODUCT((NOT(ISBLANK(H$3:H$3))*(H$3:H$3&gt;$AH$3:$AH$3))+ISBLANK(H$3:H$3))</f>
        <v>0</v>
      </c>
      <c r="I11" s="1">
        <f>SUMPRODUCT((NOT(ISBLANK(I$3:I$3))*(I$3:I$3&gt;$AC$3:$AC$3))+ISBLANK(I$3:I$3))</f>
        <v>0</v>
      </c>
      <c r="J11" s="1">
        <f>SUMPRODUCT((NOT(ISBLANK(J$3:J$3))*(J$3:J$3&gt;$AD$3:$AD$3))+ISBLANK(J$3:J$3))</f>
        <v>0</v>
      </c>
      <c r="K11" s="1"/>
      <c r="L11" s="1">
        <f>SUMPRODUCT((NOT(ISBLANK(L$3:L$3))*(L$3:L$3&gt;$AE$3:$AE$3))+ISBLANK(L$3:L$3))</f>
        <v>0</v>
      </c>
      <c r="M11" s="1">
        <f>SUMPRODUCT((NOT(ISBLANK(M$3:M$3))*(M$3:M$3&gt;$AF$3:$AF$3))+ISBLANK(M$3:M$3))</f>
        <v>0</v>
      </c>
      <c r="N11" s="1">
        <f>SUMPRODUCT((NOT(ISBLANK(N$3:N$3))*(N$3:N$3&gt;$AG$3:$AG$3))+ISBLANK(N$3:N$3))</f>
        <v>0</v>
      </c>
      <c r="O11" s="1">
        <f>SUMPRODUCT((NOT(ISBLANK(O$3:O$3))*(O$3:O$3&gt;$AH$3:$AH$3))+ISBLANK(O$3:O$3))</f>
        <v>0</v>
      </c>
      <c r="P11" s="1">
        <f>SUMPRODUCT((NOT(ISBLANK(P$3:P$3))*(P$3:P$3&gt;$AC$3:$AC$3))+ISBLANK(P$3:P$3))</f>
        <v>0</v>
      </c>
      <c r="Q11" s="1">
        <f>SUMPRODUCT((NOT(ISBLANK(Q$3:Q$3))*(Q$3:Q$3&gt;$AD$3:$AD$3))+ISBLANK(Q$3:Q$3))</f>
        <v>0</v>
      </c>
      <c r="R11" s="1"/>
      <c r="S11" s="1">
        <f>SUMPRODUCT((NOT(ISBLANK(S$3:S$3))*(S$3:S$3&gt;$AE$3:$AE$3))+ISBLANK(S$3:S$3))</f>
        <v>0</v>
      </c>
      <c r="T11" s="1">
        <f>SUMPRODUCT((NOT(ISBLANK(T$3:T$3))*(T$3:T$3&gt;$AF$3:$AF$3))+ISBLANK(T$3:T$3))</f>
        <v>0</v>
      </c>
      <c r="U11" s="1">
        <f>SUMPRODUCT((NOT(ISBLANK(U$3:U$3))*(U$3:U$3&gt;$AG$3:$AG$3))+ISBLANK(U$3:U$3))</f>
        <v>0</v>
      </c>
      <c r="V11" s="1">
        <f>SUMPRODUCT((NOT(ISBLANK(V$3:V$3))*(V$3:V$3&gt;$AH$3:$AH$3))+ISBLANK(V$3:V$3))</f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 t="s">
        <v>43</v>
      </c>
      <c r="B12" s="1">
        <f>SUMPRODUCT((NOT(ISBLANK(B$3:B$3))*(B$3:B$3=$AI$3:$AI$3))+ISBLANK(B$3:B$3))</f>
        <v>0</v>
      </c>
      <c r="C12" s="1">
        <f>SUMPRODUCT((NOT(ISBLANK(C$3:C$3))*(C$3:C$3=$AJ$3:$AJ$3))+ISBLANK(C$3:C$3))</f>
        <v>0</v>
      </c>
      <c r="D12" s="1"/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SUMPRODUCT((NOT(ISBLANK(I$3:I$3))*(I$3:I$3=$AI$3:$AI$3))+ISBLANK(I$3:I$3))</f>
        <v>0</v>
      </c>
      <c r="J12" s="1">
        <f>SUMPRODUCT((NOT(ISBLANK(J$3:J$3))*(J$3:J$3=$AJ$3:$AJ$3))+ISBLANK(J$3:J$3))</f>
        <v>0</v>
      </c>
      <c r="K12" s="1"/>
      <c r="L12" s="1">
        <f>SUMPRODUCT((NOT(ISBLANK(L$3:L$3))*(L$3:L$3=$AK$3:$AK$3))+ISBLANK(L$3:L$3))</f>
        <v>0</v>
      </c>
      <c r="M12" s="1">
        <f>SUMPRODUCT((NOT(ISBLANK(M$3:M$3))*(M$3:M$3=$AL$3:$AL$3))+ISBLANK(M$3:M$3))</f>
        <v>0</v>
      </c>
      <c r="N12" s="1">
        <f>SUMPRODUCT((NOT(ISBLANK(N$3:N$3))*(N$3:N$3=$AM$3:$AM$3))+ISBLANK(N$3:N$3))</f>
        <v>0</v>
      </c>
      <c r="O12" s="1">
        <f>SUMPRODUCT((NOT(ISBLANK(O$3:O$3))*(O$3:O$3=$AN$3:$AN$3))+ISBLANK(O$3:O$3))</f>
        <v>0</v>
      </c>
      <c r="P12" s="1">
        <f>SUMPRODUCT((NOT(ISBLANK(P$3:P$3))*(P$3:P$3=$AI$3:$AI$3))+ISBLANK(P$3:P$3))</f>
        <v>0</v>
      </c>
      <c r="Q12" s="1">
        <f>SUMPRODUCT((NOT(ISBLANK(Q$3:Q$3))*(Q$3:Q$3=$AJ$3:$AJ$3))+ISBLANK(Q$3:Q$3))</f>
        <v>0</v>
      </c>
      <c r="R12" s="1"/>
      <c r="S12" s="1">
        <f>SUMPRODUCT((NOT(ISBLANK(S$3:S$3))*(S$3:S$3=$AK$3:$AK$3))+ISBLANK(S$3:S$3))</f>
        <v>0</v>
      </c>
      <c r="T12" s="1">
        <f>SUMPRODUCT((NOT(ISBLANK(T$3:T$3))*(T$3:T$3=$AL$3:$AL$3))+ISBLANK(T$3:T$3))</f>
        <v>0</v>
      </c>
      <c r="U12" s="1">
        <f>SUMPRODUCT((NOT(ISBLANK(U$3:U$3))*(U$3:U$3=$AM$3:$AM$3))+ISBLANK(U$3:U$3))</f>
        <v>0</v>
      </c>
      <c r="V12" s="1">
        <f>SUMPRODUCT((NOT(ISBLANK(V$3:V$3))*(V$3:V$3=$AN$3:$AN$3))+ISBLANK(V$3:V$3))</f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2026-02-17T05:03:41Z</dcterms:created>
  <dcterms:modified xsi:type="dcterms:W3CDTF">2026-02-17T05:03:41Z</dcterms:modified>
</cp:coreProperties>
</file>