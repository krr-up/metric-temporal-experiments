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<sst xmlns="http://schemas.openxmlformats.org/spreadsheetml/2006/main" count="311" uniqueCount="37">
  <si>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</si>
  <si>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</si>
  <si>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</si>
  <si>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</si>
  <si>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</si>
  <si>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</si>
  <si>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</si>
  <si>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</si>
  <si>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</si>
  <si>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</si>
  <si>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</si>
  <si>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</si>
  <si>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</si>
  <si>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</si>
  <si>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</si>
  <si>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</si>
  <si>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</si>
  <si>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</si>
  <si>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</si>
  <si>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</si>
  <si>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</si>
  <si>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</si>
  <si>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</si>
  <si>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rules</t>
  </si>
  <si>
    <t>ctime</t>
  </si>
  <si>
    <t>fmtime</t>
  </si>
  <si>
    <t>memout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</si>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</sst>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0</v>
      </c>
      <c r="B3" s="1">
        <v>2.12</v>
      </c>
      <c r="C3" s="1">
        <v>0.04</v>
      </c>
      <c r="D3" s="1" t="s">
        <v>22</v>
      </c>
      <c r="E3" s="1">
        <v>297059</v>
      </c>
      <c r="F3" s="1">
        <v>1.237</v>
      </c>
      <c r="G3" s="1">
        <v>0.01</v>
      </c>
      <c r="H3" s="1">
        <v>0</v>
      </c>
      <c r="I3" s="1">
        <v>0.96</v>
      </c>
      <c r="J3" s="1">
        <v>0.01</v>
      </c>
      <c r="K3" s="1" t="s">
        <v>22</v>
      </c>
      <c r="L3" s="1">
        <v>2013</v>
      </c>
      <c r="M3" s="1">
        <v>0.076</v>
      </c>
      <c r="N3" s="1">
        <v>0</v>
      </c>
      <c r="O3" s="1">
        <v>0</v>
      </c>
      <c r="P3" s="1">
        <v>0.97</v>
      </c>
      <c r="Q3" s="1">
        <v>0.01</v>
      </c>
      <c r="R3" s="1" t="s">
        <v>22</v>
      </c>
      <c r="S3" s="1">
        <v>2013</v>
      </c>
      <c r="T3" s="1">
        <v>0.08500000000000001</v>
      </c>
      <c r="U3" s="1">
        <v>0</v>
      </c>
      <c r="V3" s="1">
        <v>0</v>
      </c>
      <c r="W3" s="1">
        <v>1.92</v>
      </c>
      <c r="X3" s="1">
        <v>0.33</v>
      </c>
      <c r="Y3" s="1" t="s">
        <v>22</v>
      </c>
      <c r="Z3" s="1">
        <v>334134</v>
      </c>
      <c r="AA3" s="1">
        <v>0.914</v>
      </c>
      <c r="AB3" s="1">
        <v>0.02</v>
      </c>
      <c r="AC3" s="1">
        <v>0</v>
      </c>
      <c r="AD3" s="1">
        <v>1.03</v>
      </c>
      <c r="AE3" s="1">
        <v>0.01</v>
      </c>
      <c r="AF3" s="1" t="s">
        <v>22</v>
      </c>
      <c r="AG3" s="1">
        <v>2248</v>
      </c>
      <c r="AH3" s="1">
        <v>0.102</v>
      </c>
      <c r="AI3" s="1">
        <v>0</v>
      </c>
      <c r="AJ3" s="1">
        <v>0</v>
      </c>
      <c r="AK3" s="1">
        <v>1.01</v>
      </c>
      <c r="AL3" s="1">
        <v>0.01</v>
      </c>
      <c r="AM3" s="1" t="s">
        <v>22</v>
      </c>
      <c r="AN3" s="1">
        <v>2248</v>
      </c>
      <c r="AO3" s="1">
        <v>0.106</v>
      </c>
      <c r="AP3" s="1">
        <v>0</v>
      </c>
      <c r="AQ3" s="1"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>
        <v>1200</v>
      </c>
      <c r="C4" s="1"/>
      <c r="D4" s="1"/>
      <c r="E4" s="1"/>
      <c r="F4" s="1"/>
      <c r="G4" s="1"/>
      <c r="H4" s="1">
        <v>0</v>
      </c>
      <c r="I4" s="1">
        <v>0.9399999999999999</v>
      </c>
      <c r="J4" s="1">
        <v>0.01</v>
      </c>
      <c r="K4" s="1" t="s">
        <v>22</v>
      </c>
      <c r="L4" s="1">
        <v>2013</v>
      </c>
      <c r="M4" s="1">
        <v>0.079</v>
      </c>
      <c r="N4" s="1">
        <v>0</v>
      </c>
      <c r="O4" s="1">
        <v>0</v>
      </c>
      <c r="P4" s="1">
        <v>0.9399999999999999</v>
      </c>
      <c r="Q4" s="1">
        <v>0.01</v>
      </c>
      <c r="R4" s="1" t="s">
        <v>22</v>
      </c>
      <c r="S4" s="1">
        <v>2013</v>
      </c>
      <c r="T4" s="1">
        <v>0.073</v>
      </c>
      <c r="U4" s="1">
        <v>0</v>
      </c>
      <c r="V4" s="1">
        <v>0</v>
      </c>
      <c r="W4" s="1">
        <v>574.66</v>
      </c>
      <c r="X4" s="1">
        <v>369.53</v>
      </c>
      <c r="Y4" s="1" t="s">
        <v>22</v>
      </c>
      <c r="Z4" s="1">
        <v>33813684</v>
      </c>
      <c r="AA4" s="1">
        <v>572.306</v>
      </c>
      <c r="AB4" s="1">
        <v>14.62</v>
      </c>
      <c r="AC4" s="1">
        <v>0</v>
      </c>
      <c r="AD4" s="1">
        <v>1</v>
      </c>
      <c r="AE4" s="1">
        <v>0.02</v>
      </c>
      <c r="AF4" s="1" t="s">
        <v>22</v>
      </c>
      <c r="AG4" s="1">
        <v>2248</v>
      </c>
      <c r="AH4" s="1">
        <v>0.114</v>
      </c>
      <c r="AI4" s="1">
        <v>0</v>
      </c>
      <c r="AJ4" s="1">
        <v>0</v>
      </c>
      <c r="AK4" s="1">
        <v>1</v>
      </c>
      <c r="AL4" s="1">
        <v>0.01</v>
      </c>
      <c r="AM4" s="1" t="s">
        <v>22</v>
      </c>
      <c r="AN4" s="1">
        <v>2248</v>
      </c>
      <c r="AO4" s="1">
        <v>0.113</v>
      </c>
      <c r="AP4" s="1">
        <v>0</v>
      </c>
      <c r="AQ4" s="1"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>
        <v>6.88</v>
      </c>
      <c r="C5" s="1">
        <v>1.03</v>
      </c>
      <c r="D5" s="1" t="s">
        <v>22</v>
      </c>
      <c r="E5" s="1">
        <v>1197119</v>
      </c>
      <c r="F5" s="1">
        <v>5.998</v>
      </c>
      <c r="G5" s="1">
        <v>0.17</v>
      </c>
      <c r="H5" s="1">
        <v>0</v>
      </c>
      <c r="I5" s="1">
        <v>0.99</v>
      </c>
      <c r="J5" s="1">
        <v>0.01</v>
      </c>
      <c r="K5" s="1" t="s">
        <v>22</v>
      </c>
      <c r="L5" s="1">
        <v>2013</v>
      </c>
      <c r="M5" s="1">
        <v>0.081</v>
      </c>
      <c r="N5" s="1">
        <v>0</v>
      </c>
      <c r="O5" s="1">
        <v>0</v>
      </c>
      <c r="P5" s="1">
        <v>0.92</v>
      </c>
      <c r="Q5" s="1">
        <v>0.01</v>
      </c>
      <c r="R5" s="1" t="s">
        <v>22</v>
      </c>
      <c r="S5" s="1">
        <v>2013</v>
      </c>
      <c r="T5" s="1">
        <v>0.073</v>
      </c>
      <c r="U5" s="1">
        <v>0</v>
      </c>
      <c r="V5" s="1">
        <v>0</v>
      </c>
      <c r="W5" s="1">
        <v>20.52</v>
      </c>
      <c r="X5" s="1">
        <v>16.95</v>
      </c>
      <c r="Y5" s="1" t="s">
        <v>22</v>
      </c>
      <c r="Z5" s="1">
        <v>1343684</v>
      </c>
      <c r="AA5" s="1">
        <v>19.667</v>
      </c>
      <c r="AB5" s="1">
        <v>0.24</v>
      </c>
      <c r="AC5" s="1">
        <v>0</v>
      </c>
      <c r="AD5" s="1">
        <v>0.98</v>
      </c>
      <c r="AE5" s="1">
        <v>0.01</v>
      </c>
      <c r="AF5" s="1" t="s">
        <v>22</v>
      </c>
      <c r="AG5" s="1">
        <v>2248</v>
      </c>
      <c r="AH5" s="1">
        <v>0.109</v>
      </c>
      <c r="AI5" s="1">
        <v>0</v>
      </c>
      <c r="AJ5" s="1">
        <v>0</v>
      </c>
      <c r="AK5" s="1">
        <v>1.01</v>
      </c>
      <c r="AL5" s="1">
        <v>0.01</v>
      </c>
      <c r="AM5" s="1" t="s">
        <v>22</v>
      </c>
      <c r="AN5" s="1">
        <v>2248</v>
      </c>
      <c r="AO5" s="1">
        <v>0.104</v>
      </c>
      <c r="AP5" s="1">
        <v>0</v>
      </c>
      <c r="AQ5" s="1"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>
        <v>21.98</v>
      </c>
      <c r="C6" s="1">
        <v>8.970000000000001</v>
      </c>
      <c r="D6" s="1" t="s">
        <v>22</v>
      </c>
      <c r="E6" s="1">
        <v>2702179</v>
      </c>
      <c r="F6" s="1">
        <v>21.002</v>
      </c>
      <c r="G6" s="1">
        <v>0.51</v>
      </c>
      <c r="H6" s="1">
        <v>0</v>
      </c>
      <c r="I6" s="1">
        <v>0.96</v>
      </c>
      <c r="J6" s="1">
        <v>0.01</v>
      </c>
      <c r="K6" s="1" t="s">
        <v>22</v>
      </c>
      <c r="L6" s="1">
        <v>2013</v>
      </c>
      <c r="M6" s="1">
        <v>0.089</v>
      </c>
      <c r="N6" s="1">
        <v>0</v>
      </c>
      <c r="O6" s="1">
        <v>0</v>
      </c>
      <c r="P6" s="1">
        <v>0.92</v>
      </c>
      <c r="Q6" s="1">
        <v>0.01</v>
      </c>
      <c r="R6" s="1" t="s">
        <v>22</v>
      </c>
      <c r="S6" s="1">
        <v>2013</v>
      </c>
      <c r="T6" s="1">
        <v>0.08</v>
      </c>
      <c r="U6" s="1">
        <v>0</v>
      </c>
      <c r="V6" s="1">
        <v>0</v>
      </c>
      <c r="W6" s="1">
        <v>60.52</v>
      </c>
      <c r="X6" s="1">
        <v>52.06</v>
      </c>
      <c r="Y6" s="1" t="s">
        <v>22</v>
      </c>
      <c r="Z6" s="1">
        <v>3030834</v>
      </c>
      <c r="AA6" s="1">
        <v>59.542</v>
      </c>
      <c r="AB6" s="1">
        <v>0.76</v>
      </c>
      <c r="AC6" s="1">
        <v>0</v>
      </c>
      <c r="AD6" s="1">
        <v>1.01</v>
      </c>
      <c r="AE6" s="1">
        <v>0.01</v>
      </c>
      <c r="AF6" s="1" t="s">
        <v>22</v>
      </c>
      <c r="AG6" s="1">
        <v>2248</v>
      </c>
      <c r="AH6" s="1">
        <v>0.107</v>
      </c>
      <c r="AI6" s="1">
        <v>0</v>
      </c>
      <c r="AJ6" s="1">
        <v>0</v>
      </c>
      <c r="AK6" s="1">
        <v>0.97</v>
      </c>
      <c r="AL6" s="1">
        <v>0.01</v>
      </c>
      <c r="AM6" s="1" t="s">
        <v>22</v>
      </c>
      <c r="AN6" s="1">
        <v>2248</v>
      </c>
      <c r="AO6" s="1">
        <v>0.103</v>
      </c>
      <c r="AP6" s="1">
        <v>0</v>
      </c>
      <c r="AQ6" s="1"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>
        <v>25.7</v>
      </c>
      <c r="C7" s="1">
        <v>1.6</v>
      </c>
      <c r="D7" s="1" t="s">
        <v>22</v>
      </c>
      <c r="E7" s="1">
        <v>4812239</v>
      </c>
      <c r="F7" s="1">
        <v>24.641</v>
      </c>
      <c r="G7" s="1">
        <v>0.92</v>
      </c>
      <c r="H7" s="1">
        <v>0</v>
      </c>
      <c r="I7" s="1">
        <v>0.93</v>
      </c>
      <c r="J7" s="1">
        <v>0.01</v>
      </c>
      <c r="K7" s="1" t="s">
        <v>22</v>
      </c>
      <c r="L7" s="1">
        <v>2013</v>
      </c>
      <c r="M7" s="1">
        <v>0.078</v>
      </c>
      <c r="N7" s="1">
        <v>0</v>
      </c>
      <c r="O7" s="1">
        <v>0</v>
      </c>
      <c r="P7" s="1">
        <v>0.96</v>
      </c>
      <c r="Q7" s="1">
        <v>0.01</v>
      </c>
      <c r="R7" s="1" t="s">
        <v>22</v>
      </c>
      <c r="S7" s="1">
        <v>2013</v>
      </c>
      <c r="T7" s="1">
        <v>0.075</v>
      </c>
      <c r="U7" s="1">
        <v>0</v>
      </c>
      <c r="V7" s="1">
        <v>0</v>
      </c>
      <c r="W7" s="1">
        <v>57.9</v>
      </c>
      <c r="X7" s="1">
        <v>40.98</v>
      </c>
      <c r="Y7" s="1" t="s">
        <v>22</v>
      </c>
      <c r="Z7" s="1">
        <v>5395584</v>
      </c>
      <c r="AA7" s="1">
        <v>56.882</v>
      </c>
      <c r="AB7" s="1">
        <v>2.23</v>
      </c>
      <c r="AC7" s="1">
        <v>0</v>
      </c>
      <c r="AD7" s="1">
        <v>0.99</v>
      </c>
      <c r="AE7" s="1">
        <v>0.01</v>
      </c>
      <c r="AF7" s="1" t="s">
        <v>22</v>
      </c>
      <c r="AG7" s="1">
        <v>2248</v>
      </c>
      <c r="AH7" s="1">
        <v>0.115</v>
      </c>
      <c r="AI7" s="1">
        <v>0</v>
      </c>
      <c r="AJ7" s="1">
        <v>0</v>
      </c>
      <c r="AK7" s="1">
        <v>0.99</v>
      </c>
      <c r="AL7" s="1">
        <v>0.01</v>
      </c>
      <c r="AM7" s="1" t="s">
        <v>22</v>
      </c>
      <c r="AN7" s="1">
        <v>2248</v>
      </c>
      <c r="AO7" s="1">
        <v>0.099</v>
      </c>
      <c r="AP7" s="1">
        <v>0</v>
      </c>
      <c r="AQ7" s="1"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>
        <v>60.9</v>
      </c>
      <c r="C8" s="1">
        <v>20.39</v>
      </c>
      <c r="D8" s="1" t="s">
        <v>22</v>
      </c>
      <c r="E8" s="1">
        <v>7527299</v>
      </c>
      <c r="F8" s="1">
        <v>59.765</v>
      </c>
      <c r="G8" s="1">
        <v>2.34</v>
      </c>
      <c r="H8" s="1">
        <v>0</v>
      </c>
      <c r="I8" s="1">
        <v>0.9399999999999999</v>
      </c>
      <c r="J8" s="1">
        <v>0.01</v>
      </c>
      <c r="K8" s="1" t="s">
        <v>22</v>
      </c>
      <c r="L8" s="1">
        <v>2013</v>
      </c>
      <c r="M8" s="1">
        <v>0.078</v>
      </c>
      <c r="N8" s="1">
        <v>0</v>
      </c>
      <c r="O8" s="1">
        <v>0</v>
      </c>
      <c r="P8" s="1">
        <v>0.9399999999999999</v>
      </c>
      <c r="Q8" s="1">
        <v>0.01</v>
      </c>
      <c r="R8" s="1" t="s">
        <v>22</v>
      </c>
      <c r="S8" s="1">
        <v>2013</v>
      </c>
      <c r="T8" s="1">
        <v>0.082</v>
      </c>
      <c r="U8" s="1">
        <v>0</v>
      </c>
      <c r="V8" s="1">
        <v>0</v>
      </c>
      <c r="W8" s="1">
        <v>36.55</v>
      </c>
      <c r="X8" s="1">
        <v>7.94</v>
      </c>
      <c r="Y8" s="1" t="s">
        <v>22</v>
      </c>
      <c r="Z8" s="1">
        <v>8437934</v>
      </c>
      <c r="AA8" s="1">
        <v>35.372</v>
      </c>
      <c r="AB8" s="1">
        <v>2.81</v>
      </c>
      <c r="AC8" s="1">
        <v>0</v>
      </c>
      <c r="AD8" s="1">
        <v>1.01</v>
      </c>
      <c r="AE8" s="1">
        <v>0.02</v>
      </c>
      <c r="AF8" s="1" t="s">
        <v>22</v>
      </c>
      <c r="AG8" s="1">
        <v>2248</v>
      </c>
      <c r="AH8" s="1">
        <v>0.116</v>
      </c>
      <c r="AI8" s="1">
        <v>0</v>
      </c>
      <c r="AJ8" s="1">
        <v>0</v>
      </c>
      <c r="AK8" s="1">
        <v>1.01</v>
      </c>
      <c r="AL8" s="1">
        <v>0.01</v>
      </c>
      <c r="AM8" s="1" t="s">
        <v>22</v>
      </c>
      <c r="AN8" s="1">
        <v>2248</v>
      </c>
      <c r="AO8" s="1">
        <v>0.109</v>
      </c>
      <c r="AP8" s="1">
        <v>0</v>
      </c>
      <c r="AQ8" s="1"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>
        <v>75.93000000000001</v>
      </c>
      <c r="C9" s="1">
        <v>9.970000000000001</v>
      </c>
      <c r="D9" s="1" t="s">
        <v>22</v>
      </c>
      <c r="E9" s="1">
        <v>10847359</v>
      </c>
      <c r="F9" s="1">
        <v>74.61199999999999</v>
      </c>
      <c r="G9" s="1">
        <v>3.75</v>
      </c>
      <c r="H9" s="1">
        <v>0</v>
      </c>
      <c r="I9" s="1">
        <v>0.99</v>
      </c>
      <c r="J9" s="1">
        <v>0.01</v>
      </c>
      <c r="K9" s="1" t="s">
        <v>22</v>
      </c>
      <c r="L9" s="1">
        <v>2013</v>
      </c>
      <c r="M9" s="1">
        <v>0.083</v>
      </c>
      <c r="N9" s="1">
        <v>0</v>
      </c>
      <c r="O9" s="1">
        <v>0</v>
      </c>
      <c r="P9" s="1">
        <v>0.9</v>
      </c>
      <c r="Q9" s="1">
        <v>0.01</v>
      </c>
      <c r="R9" s="1" t="s">
        <v>22</v>
      </c>
      <c r="S9" s="1">
        <v>2013</v>
      </c>
      <c r="T9" s="1">
        <v>0.081</v>
      </c>
      <c r="U9" s="1">
        <v>0</v>
      </c>
      <c r="V9" s="1">
        <v>0</v>
      </c>
      <c r="W9" s="1">
        <v>149.77</v>
      </c>
      <c r="X9" s="1">
        <v>104.34</v>
      </c>
      <c r="Y9" s="1" t="s">
        <v>22</v>
      </c>
      <c r="Z9" s="1">
        <v>12157884</v>
      </c>
      <c r="AA9" s="1">
        <v>148.533</v>
      </c>
      <c r="AB9" s="1">
        <v>5.91</v>
      </c>
      <c r="AC9" s="1">
        <v>0</v>
      </c>
      <c r="AD9" s="1">
        <v>1.04</v>
      </c>
      <c r="AE9" s="1">
        <v>0.02</v>
      </c>
      <c r="AF9" s="1" t="s">
        <v>22</v>
      </c>
      <c r="AG9" s="1">
        <v>2248</v>
      </c>
      <c r="AH9" s="1">
        <v>0.129</v>
      </c>
      <c r="AI9" s="1">
        <v>0</v>
      </c>
      <c r="AJ9" s="1">
        <v>0</v>
      </c>
      <c r="AK9" s="1">
        <v>1.01</v>
      </c>
      <c r="AL9" s="1">
        <v>0.01</v>
      </c>
      <c r="AM9" s="1" t="s">
        <v>22</v>
      </c>
      <c r="AN9" s="1">
        <v>2248</v>
      </c>
      <c r="AO9" s="1">
        <v>0.101</v>
      </c>
      <c r="AP9" s="1">
        <v>0</v>
      </c>
      <c r="AQ9" s="1"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>
        <v>108.13</v>
      </c>
      <c r="C10" s="1">
        <v>14.58</v>
      </c>
      <c r="D10" s="1" t="s">
        <v>22</v>
      </c>
      <c r="E10" s="1">
        <v>14772419</v>
      </c>
      <c r="F10" s="1">
        <v>106.606</v>
      </c>
      <c r="G10" s="1">
        <v>4.92</v>
      </c>
      <c r="H10" s="1">
        <v>0</v>
      </c>
      <c r="I10" s="1">
        <v>0.87</v>
      </c>
      <c r="J10" s="1">
        <v>0.01</v>
      </c>
      <c r="K10" s="1" t="s">
        <v>22</v>
      </c>
      <c r="L10" s="1">
        <v>2013</v>
      </c>
      <c r="M10" s="1">
        <v>0.074</v>
      </c>
      <c r="N10" s="1">
        <v>0</v>
      </c>
      <c r="O10" s="1">
        <v>0</v>
      </c>
      <c r="P10" s="1">
        <v>0.98</v>
      </c>
      <c r="Q10" s="1">
        <v>0.01</v>
      </c>
      <c r="R10" s="1" t="s">
        <v>22</v>
      </c>
      <c r="S10" s="1">
        <v>2013</v>
      </c>
      <c r="T10" s="1">
        <v>0.08400000000000001</v>
      </c>
      <c r="U10" s="1">
        <v>0</v>
      </c>
      <c r="V10" s="1">
        <v>0</v>
      </c>
      <c r="W10" s="1">
        <v>146.37</v>
      </c>
      <c r="X10" s="1">
        <v>77.29000000000001</v>
      </c>
      <c r="Y10" s="1" t="s">
        <v>22</v>
      </c>
      <c r="Z10" s="1">
        <v>16555434</v>
      </c>
      <c r="AA10" s="1">
        <v>144.921</v>
      </c>
      <c r="AB10" s="1">
        <v>6.59</v>
      </c>
      <c r="AC10" s="1">
        <v>0</v>
      </c>
      <c r="AD10" s="1">
        <v>1.02</v>
      </c>
      <c r="AE10" s="1">
        <v>0.02</v>
      </c>
      <c r="AF10" s="1" t="s">
        <v>22</v>
      </c>
      <c r="AG10" s="1">
        <v>2248</v>
      </c>
      <c r="AH10" s="1">
        <v>0.121</v>
      </c>
      <c r="AI10" s="1">
        <v>0</v>
      </c>
      <c r="AJ10" s="1">
        <v>0</v>
      </c>
      <c r="AK10" s="1">
        <v>1.01</v>
      </c>
      <c r="AL10" s="1">
        <v>0.01</v>
      </c>
      <c r="AM10" s="1" t="s">
        <v>22</v>
      </c>
      <c r="AN10" s="1">
        <v>2248</v>
      </c>
      <c r="AO10" s="1">
        <v>0.111</v>
      </c>
      <c r="AP10" s="1">
        <v>0</v>
      </c>
      <c r="AQ10" s="1"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>
        <v>159.94</v>
      </c>
      <c r="C11" s="1">
        <v>27.26</v>
      </c>
      <c r="D11" s="1" t="s">
        <v>22</v>
      </c>
      <c r="E11" s="1">
        <v>19302479</v>
      </c>
      <c r="F11" s="1">
        <v>158.179</v>
      </c>
      <c r="G11" s="1">
        <v>6.77</v>
      </c>
      <c r="H11" s="1">
        <v>0</v>
      </c>
      <c r="I11" s="1">
        <v>0.95</v>
      </c>
      <c r="J11" s="1">
        <v>0.01</v>
      </c>
      <c r="K11" s="1" t="s">
        <v>22</v>
      </c>
      <c r="L11" s="1">
        <v>2013</v>
      </c>
      <c r="M11" s="1">
        <v>0.092</v>
      </c>
      <c r="N11" s="1">
        <v>0</v>
      </c>
      <c r="O11" s="1">
        <v>0</v>
      </c>
      <c r="P11" s="1">
        <v>0.98</v>
      </c>
      <c r="Q11" s="1">
        <v>0.01</v>
      </c>
      <c r="R11" s="1" t="s">
        <v>22</v>
      </c>
      <c r="S11" s="1">
        <v>2013</v>
      </c>
      <c r="T11" s="1">
        <v>0.076</v>
      </c>
      <c r="U11" s="1">
        <v>0</v>
      </c>
      <c r="V11" s="1">
        <v>0</v>
      </c>
      <c r="W11" s="1">
        <v>1200</v>
      </c>
      <c r="X11" s="1"/>
      <c r="Y11" s="1"/>
      <c r="Z11" s="1"/>
      <c r="AA11" s="1"/>
      <c r="AB11" s="1"/>
      <c r="AC11" s="1">
        <v>0</v>
      </c>
      <c r="AD11" s="1">
        <v>1.02</v>
      </c>
      <c r="AE11" s="1">
        <v>0.02</v>
      </c>
      <c r="AF11" s="1" t="s">
        <v>22</v>
      </c>
      <c r="AG11" s="1">
        <v>2248</v>
      </c>
      <c r="AH11" s="1">
        <v>0.129</v>
      </c>
      <c r="AI11" s="1">
        <v>0</v>
      </c>
      <c r="AJ11" s="1">
        <v>0</v>
      </c>
      <c r="AK11" s="1">
        <v>0.98</v>
      </c>
      <c r="AL11" s="1">
        <v>0.01</v>
      </c>
      <c r="AM11" s="1" t="s">
        <v>22</v>
      </c>
      <c r="AN11" s="1">
        <v>2248</v>
      </c>
      <c r="AO11" s="1">
        <v>0.104</v>
      </c>
      <c r="AP11" s="1">
        <v>0</v>
      </c>
      <c r="AQ11" s="1"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>
        <v>1200</v>
      </c>
      <c r="C12" s="1"/>
      <c r="D12" s="1"/>
      <c r="E12" s="1"/>
      <c r="F12" s="1"/>
      <c r="G12" s="1"/>
      <c r="H12" s="1">
        <v>0</v>
      </c>
      <c r="I12" s="1">
        <v>0.96</v>
      </c>
      <c r="J12" s="1">
        <v>0.01</v>
      </c>
      <c r="K12" s="1" t="s">
        <v>22</v>
      </c>
      <c r="L12" s="1">
        <v>2013</v>
      </c>
      <c r="M12" s="1">
        <v>0.08500000000000001</v>
      </c>
      <c r="N12" s="1">
        <v>0</v>
      </c>
      <c r="O12" s="1">
        <v>0</v>
      </c>
      <c r="P12" s="1">
        <v>1</v>
      </c>
      <c r="Q12" s="1">
        <v>0.01</v>
      </c>
      <c r="R12" s="1" t="s">
        <v>22</v>
      </c>
      <c r="S12" s="1">
        <v>2013</v>
      </c>
      <c r="T12" s="1">
        <v>0.077</v>
      </c>
      <c r="U12" s="1">
        <v>0</v>
      </c>
      <c r="V12" s="1">
        <v>0</v>
      </c>
      <c r="W12" s="1">
        <v>382.75</v>
      </c>
      <c r="X12" s="1">
        <v>230.68</v>
      </c>
      <c r="Y12" s="1" t="s">
        <v>22</v>
      </c>
      <c r="Z12" s="1">
        <v>27383334</v>
      </c>
      <c r="AA12" s="1">
        <v>380.667</v>
      </c>
      <c r="AB12" s="1">
        <v>32.53</v>
      </c>
      <c r="AC12" s="1">
        <v>0</v>
      </c>
      <c r="AD12" s="1">
        <v>0.98</v>
      </c>
      <c r="AE12" s="1">
        <v>0.02</v>
      </c>
      <c r="AF12" s="1" t="s">
        <v>22</v>
      </c>
      <c r="AG12" s="1">
        <v>2248</v>
      </c>
      <c r="AH12" s="1">
        <v>0.122</v>
      </c>
      <c r="AI12" s="1">
        <v>0</v>
      </c>
      <c r="AJ12" s="1">
        <v>0</v>
      </c>
      <c r="AK12" s="1">
        <v>1.03</v>
      </c>
      <c r="AL12" s="1">
        <v>0.01</v>
      </c>
      <c r="AM12" s="1" t="s">
        <v>22</v>
      </c>
      <c r="AN12" s="1">
        <v>2248</v>
      </c>
      <c r="AO12" s="1">
        <v>0.111</v>
      </c>
      <c r="AP12" s="1">
        <v>0</v>
      </c>
      <c r="AQ12" s="1"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61" width="11.42578125" customWidth="1"/>
  </cols>
  <sheetData>
    <row r="1" spans="1:61">
      <c r="A1" s="1" t="s">
        <v>35</v>
      </c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2" t="s">
        <v>33</v>
      </c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/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/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/>
      <c r="AN6" s="1" cm="1">
        <f t="array" ref="AN6">_xlfn.SWITCH($A$2,"average", AVERAGE(Instances!AN6:Instances!AN6),"median", MEDIAN(Instances!AN6:Instances!AN6),"min", MIN(Instances!AN6:Instances!AN6),"max", MAX(Instances!AN6:Instances!AN6),"diff", MAX(Instances!AN6:Instances!AN6)-MIN(Instances!AN6:Instances!AN6))</f>
        <v>0</v>
      </c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 cm="1">
        <f t="array" ref="X7">_xlfn.SWITCH($A$2,"average", AVERAGE(Instances!X7:Instances!X7),"median", MEDIAN(Instances!X7:Instances!X7),"min", MIN(Instances!X7:Instances!X7),"max", MAX(Instances!X7:Instances!X7),"diff", MAX(Instances!X7:Instances!X7)-MIN(Instances!X7:Instances!X7))</f>
        <v>0</v>
      </c>
      <c r="Y7" s="1"/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 cm="1">
        <f t="array" ref="AA7">_xlfn.SWITCH($A$2,"average", AVERAGE(Instances!AA7:Instances!AA7),"median", MEDIAN(Instances!AA7:Instances!AA7),"min", MIN(Instances!AA7:Instances!AA7),"max", MAX(Instances!AA7:Instances!AA7),"diff", MAX(Instances!AA7:Instances!AA7)-MIN(Instances!AA7:Instances!AA7))</f>
        <v>0</v>
      </c>
      <c r="AB7" s="1" cm="1">
        <f t="array" ref="AB7">_xlfn.SWITCH($A$2,"average", AVERAGE(Instances!AB7:Instances!AB7),"median", MEDIAN(Instances!AB7:Instances!AB7),"min", MIN(Instances!AB7:Instances!AB7),"max", MAX(Instances!AB7:Instances!AB7),"diff", MAX(Instances!AB7:Instances!AB7)-MIN(Instances!AB7:Instances!AB7))</f>
        <v>0</v>
      </c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/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 cm="1">
        <f t="array" ref="AI7">_xlfn.SWITCH($A$2,"average", AVERAGE(Instances!AI7:Instances!AI7),"median", MEDIAN(Instances!AI7:Instances!AI7),"min", MIN(Instances!AI7:Instances!AI7),"max", MAX(Instances!AI7:Instances!AI7),"diff", MAX(Instances!AI7:Instances!AI7)-MIN(Instances!AI7:Instances!AI7))</f>
        <v>0</v>
      </c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/>
      <c r="AN7" s="1" cm="1">
        <f t="array" ref="AN7">_xlfn.SWITCH($A$2,"average", AVERAGE(Instances!AN7:Instances!AN7),"median", MEDIAN(Instances!AN7:Instances!AN7),"min", MIN(Instances!AN7:Instances!AN7),"max", MAX(Instances!AN7:Instances!AN7),"diff", MAX(Instances!AN7:Instances!AN7)-MIN(Instances!AN7:Instances!AN7))</f>
        <v>0</v>
      </c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 cm="1">
        <f t="array" ref="X8">_xlfn.SWITCH($A$2,"average", AVERAGE(Instances!X8:Instances!X8),"median", MEDIAN(Instances!X8:Instances!X8),"min", MIN(Instances!X8:Instances!X8),"max", MAX(Instances!X8:Instances!X8),"diff", MAX(Instances!X8:Instances!X8)-MIN(Instances!X8:Instances!X8))</f>
        <v>0</v>
      </c>
      <c r="Y8" s="1"/>
      <c r="Z8" s="1" cm="1">
        <f t="array" ref="Z8">_xlfn.SWITCH($A$2,"average", AVERAGE(Instances!Z8:Instances!Z8),"median", MEDIAN(Instances!Z8:Instances!Z8),"min", MIN(Instances!Z8:Instances!Z8),"max", MAX(Instances!Z8:Instances!Z8),"diff", MAX(Instances!Z8:Instances!Z8)-MIN(Instances!Z8:Instances!Z8))</f>
        <v>0</v>
      </c>
      <c r="AA8" s="1" cm="1">
        <f t="array" ref="AA8">_xlfn.SWITCH($A$2,"average", AVERAGE(Instances!AA8:Instances!AA8),"median", MEDIAN(Instances!AA8:Instances!AA8),"min", MIN(Instances!AA8:Instances!AA8),"max", MAX(Instances!AA8:Instances!AA8),"diff", MAX(Instances!AA8:Instances!AA8)-MIN(Instances!AA8:Instances!AA8))</f>
        <v>0</v>
      </c>
      <c r="AB8" s="1" cm="1">
        <f t="array" ref="AB8">_xlfn.SWITCH($A$2,"average", AVERAGE(Instances!AB8:Instances!AB8),"median", MEDIAN(Instances!AB8:Instances!AB8),"min", MIN(Instances!AB8:Instances!AB8),"max", MAX(Instances!AB8:Instances!AB8),"diff", MAX(Instances!AB8:Instances!AB8)-MIN(Instances!AB8:Instances!AB8))</f>
        <v>0</v>
      </c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 cm="1">
        <f t="array" ref="AE8">_xlfn.SWITCH($A$2,"average", AVERAGE(Instances!AE8:Instances!AE8),"median", MEDIAN(Instances!AE8:Instances!AE8),"min", MIN(Instances!AE8:Instances!AE8),"max", MAX(Instances!AE8:Instances!AE8),"diff", MAX(Instances!AE8:Instances!AE8)-MIN(Instances!AE8:Instances!AE8))</f>
        <v>0</v>
      </c>
      <c r="AF8" s="1"/>
      <c r="AG8" s="1" cm="1">
        <f t="array" ref="AG8">_xlfn.SWITCH($A$2,"average", AVERAGE(Instances!AG8:Instances!AG8),"median", MEDIAN(Instances!AG8:Instances!AG8),"min", MIN(Instances!AG8:Instances!AG8),"max", MAX(Instances!AG8:Instances!AG8),"diff", MAX(Instances!AG8:Instances!AG8)-MIN(Instances!AG8:Instances!AG8))</f>
        <v>0</v>
      </c>
      <c r="AH8" s="1" cm="1">
        <f t="array" ref="AH8">_xlfn.SWITCH($A$2,"average", AVERAGE(Instances!AH8:Instances!AH8),"median", MEDIAN(Instances!AH8:Instances!AH8),"min", MIN(Instances!AH8:Instances!AH8),"max", MAX(Instances!AH8:Instances!AH8),"diff", MAX(Instances!AH8:Instances!AH8)-MIN(Instances!AH8:Instances!AH8))</f>
        <v>0</v>
      </c>
      <c r="AI8" s="1" cm="1">
        <f t="array" ref="AI8">_xlfn.SWITCH($A$2,"average", AVERAGE(Instances!AI8:Instances!AI8),"median", MEDIAN(Instances!AI8:Instances!AI8),"min", MIN(Instances!AI8:Instances!AI8),"max", MAX(Instances!AI8:Instances!AI8),"diff", MAX(Instances!AI8:Instances!AI8)-MIN(Instances!AI8:Instances!AI8))</f>
        <v>0</v>
      </c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/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 cm="1">
        <f t="array" ref="X9">_xlfn.SWITCH($A$2,"average", AVERAGE(Instances!X9:Instances!X9),"median", MEDIAN(Instances!X9:Instances!X9),"min", MIN(Instances!X9:Instances!X9),"max", MAX(Instances!X9:Instances!X9),"diff", MAX(Instances!X9:Instances!X9)-MIN(Instances!X9:Instances!X9))</f>
        <v>0</v>
      </c>
      <c r="Y9" s="1"/>
      <c r="Z9" s="1" cm="1">
        <f t="array" ref="Z9">_xlfn.SWITCH($A$2,"average", AVERAGE(Instances!Z9:Instances!Z9),"median", MEDIAN(Instances!Z9:Instances!Z9),"min", MIN(Instances!Z9:Instances!Z9),"max", MAX(Instances!Z9:Instances!Z9),"diff", MAX(Instances!Z9:Instances!Z9)-MIN(Instances!Z9:Instances!Z9))</f>
        <v>0</v>
      </c>
      <c r="AA9" s="1" cm="1">
        <f t="array" ref="AA9">_xlfn.SWITCH($A$2,"average", AVERAGE(Instances!AA9:Instances!AA9),"median", MEDIAN(Instances!AA9:Instances!AA9),"min", MIN(Instances!AA9:Instances!AA9),"max", MAX(Instances!AA9:Instances!AA9),"diff", MAX(Instances!AA9:Instances!AA9)-MIN(Instances!AA9:Instances!AA9))</f>
        <v>0</v>
      </c>
      <c r="AB9" s="1" cm="1">
        <f t="array" ref="AB9">_xlfn.SWITCH($A$2,"average", AVERAGE(Instances!AB9:Instances!AB9),"median", MEDIAN(Instances!AB9:Instances!AB9),"min", MIN(Instances!AB9:Instances!AB9),"max", MAX(Instances!AB9:Instances!AB9),"diff", MAX(Instances!AB9:Instances!AB9)-MIN(Instances!AB9:Instances!AB9))</f>
        <v>0</v>
      </c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 cm="1">
        <f t="array" ref="AE9">_xlfn.SWITCH($A$2,"average", AVERAGE(Instances!AE9:Instances!AE9),"median", MEDIAN(Instances!AE9:Instances!AE9),"min", MIN(Instances!AE9:Instances!AE9),"max", MAX(Instances!AE9:Instances!AE9),"diff", MAX(Instances!AE9:Instances!AE9)-MIN(Instances!AE9:Instances!AE9))</f>
        <v>0</v>
      </c>
      <c r="AF9" s="1"/>
      <c r="AG9" s="1" cm="1">
        <f t="array" ref="AG9">_xlfn.SWITCH($A$2,"average", AVERAGE(Instances!AG9:Instances!AG9),"median", MEDIAN(Instances!AG9:Instances!AG9),"min", MIN(Instances!AG9:Instances!AG9),"max", MAX(Instances!AG9:Instances!AG9),"diff", MAX(Instances!AG9:Instances!AG9)-MIN(Instances!AG9:Instances!AG9))</f>
        <v>0</v>
      </c>
      <c r="AH9" s="1" cm="1">
        <f t="array" ref="AH9">_xlfn.SWITCH($A$2,"average", AVERAGE(Instances!AH9:Instances!AH9),"median", MEDIAN(Instances!AH9:Instances!AH9),"min", MIN(Instances!AH9:Instances!AH9),"max", MAX(Instances!AH9:Instances!AH9),"diff", MAX(Instances!AH9:Instances!AH9)-MIN(Instances!AH9:Instances!AH9))</f>
        <v>0</v>
      </c>
      <c r="AI9" s="1" cm="1">
        <f t="array" ref="AI9">_xlfn.SWITCH($A$2,"average", AVERAGE(Instances!AI9:Instances!AI9),"median", MEDIAN(Instances!AI9:Instances!AI9),"min", MIN(Instances!AI9:Instances!AI9),"max", MAX(Instances!AI9:Instances!AI9),"diff", MAX(Instances!AI9:Instances!AI9)-MIN(Instances!AI9:Instances!AI9))</f>
        <v>0</v>
      </c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/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 cm="1">
        <f t="array" ref="X10">_xlfn.SWITCH($A$2,"average", AVERAGE(Instances!X10:Instances!X10),"median", MEDIAN(Instances!X10:Instances!X10),"min", MIN(Instances!X10:Instances!X10),"max", MAX(Instances!X10:Instances!X10),"diff", MAX(Instances!X10:Instances!X10)-MIN(Instances!X10:Instances!X10))</f>
        <v>0</v>
      </c>
      <c r="Y10" s="1"/>
      <c r="Z10" s="1" cm="1">
        <f t="array" ref="Z10">_xlfn.SWITCH($A$2,"average", AVERAGE(Instances!Z10:Instances!Z10),"median", MEDIAN(Instances!Z10:Instances!Z10),"min", MIN(Instances!Z10:Instances!Z10),"max", MAX(Instances!Z10:Instances!Z10),"diff", MAX(Instances!Z10:Instances!Z10)-MIN(Instances!Z10:Instances!Z10))</f>
        <v>0</v>
      </c>
      <c r="AA10" s="1" cm="1">
        <f t="array" ref="AA10">_xlfn.SWITCH($A$2,"average", AVERAGE(Instances!AA10:Instances!AA10),"median", MEDIAN(Instances!AA10:Instances!AA10),"min", MIN(Instances!AA10:Instances!AA10),"max", MAX(Instances!AA10:Instances!AA10),"diff", MAX(Instances!AA10:Instances!AA10)-MIN(Instances!AA10:Instances!AA10))</f>
        <v>0</v>
      </c>
      <c r="AB10" s="1" cm="1">
        <f t="array" ref="AB10">_xlfn.SWITCH($A$2,"average", AVERAGE(Instances!AB10:Instances!AB10),"median", MEDIAN(Instances!AB10:Instances!AB10),"min", MIN(Instances!AB10:Instances!AB10),"max", MAX(Instances!AB10:Instances!AB10),"diff", MAX(Instances!AB10:Instances!AB10)-MIN(Instances!AB10:Instances!AB10))</f>
        <v>0</v>
      </c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 cm="1">
        <f t="array" ref="AE10">_xlfn.SWITCH($A$2,"average", AVERAGE(Instances!AE10:Instances!AE10),"median", MEDIAN(Instances!AE10:Instances!AE10),"min", MIN(Instances!AE10:Instances!AE10),"max", MAX(Instances!AE10:Instances!AE10),"diff", MAX(Instances!AE10:Instances!AE10)-MIN(Instances!AE10:Instances!AE10))</f>
        <v>0</v>
      </c>
      <c r="AF10" s="1"/>
      <c r="AG10" s="1" cm="1">
        <f t="array" ref="AG10">_xlfn.SWITCH($A$2,"average", AVERAGE(Instances!AG10:Instances!AG10),"median", MEDIAN(Instances!AG10:Instances!AG10),"min", MIN(Instances!AG10:Instances!AG10),"max", MAX(Instances!AG10:Instances!AG10),"diff", MAX(Instances!AG10:Instances!AG10)-MIN(Instances!AG10:Instances!AG10))</f>
        <v>0</v>
      </c>
      <c r="AH10" s="1" cm="1">
        <f t="array" ref="AH10">_xlfn.SWITCH($A$2,"average", AVERAGE(Instances!AH10:Instances!AH10),"median", MEDIAN(Instances!AH10:Instances!AH10),"min", MIN(Instances!AH10:Instances!AH10),"max", MAX(Instances!AH10:Instances!AH10),"diff", MAX(Instances!AH10:Instances!AH10)-MIN(Instances!AH10:Instances!AH10))</f>
        <v>0</v>
      </c>
      <c r="AI10" s="1" cm="1">
        <f t="array" ref="AI10">_xlfn.SWITCH($A$2,"average", AVERAGE(Instances!AI10:Instances!AI10),"median", MEDIAN(Instances!AI10:Instances!AI10),"min", MIN(Instances!AI10:Instances!AI10),"max", MAX(Instances!AI10:Instances!AI10),"diff", MAX(Instances!AI10:Instances!AI10)-MIN(Instances!AI10:Instances!AI10))</f>
        <v>0</v>
      </c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 cm="1">
        <f t="array" ref="AL10">_xlfn.SWITCH($A$2,"average", AVERAGE(Instances!AL10:Instances!AL10),"median", MEDIAN(Instances!AL10:Instances!AL10),"min", MIN(Instances!AL10:Instances!AL10),"max", MAX(Instances!AL10:Instances!AL10),"diff", MAX(Instances!AL10:Instances!AL10)-MIN(Instances!AL10:Instances!AL10))</f>
        <v>0</v>
      </c>
      <c r="AM10" s="1"/>
      <c r="AN10" s="1" cm="1">
        <f t="array" ref="AN10">_xlfn.SWITCH($A$2,"average", AVERAGE(Instances!AN10:Instances!AN10),"median", MEDIAN(Instances!AN10:Instances!AN10),"min", MIN(Instances!AN10:Instances!AN10),"max", MAX(Instances!AN10:Instances!AN10),"diff", MAX(Instances!AN10:Instances!AN10)-MIN(Instances!AN10:Instances!AN10))</f>
        <v>0</v>
      </c>
      <c r="AO10" s="1" cm="1">
        <f t="array" ref="AO10">_xlfn.SWITCH($A$2,"average", AVERAGE(Instances!AO10:Instances!AO10),"median", MEDIAN(Instances!AO10:Instances!AO10),"min", MIN(Instances!AO10:Instances!AO10),"max", MAX(Instances!AO10:Instances!AO10),"diff", MAX(Instances!AO10:Instances!AO10)-MIN(Instances!AO10:Instances!AO10))</f>
        <v>0</v>
      </c>
      <c r="AP10" s="1" cm="1">
        <f t="array" ref="AP10">_xlfn.SWITCH($A$2,"average", AVERAGE(Instances!AP10:Instances!AP10),"median", MEDIAN(Instances!AP10:Instances!AP10),"min", MIN(Instances!AP10:Instances!AP10),"max", MAX(Instances!AP10:Instances!AP10),"diff", MAX(Instances!AP10:Instances!AP10)-MIN(Instances!AP10:Instances!AP10))</f>
        <v>0</v>
      </c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/>
      <c r="Y11" s="1"/>
      <c r="Z11" s="1"/>
      <c r="AA11" s="1"/>
      <c r="AB11" s="1"/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 cm="1">
        <f t="array" ref="AE11">_xlfn.SWITCH($A$2,"average", AVERAGE(Instances!AE11:Instances!AE11),"median", MEDIAN(Instances!AE11:Instances!AE11),"min", MIN(Instances!AE11:Instances!AE11),"max", MAX(Instances!AE11:Instances!AE11),"diff", MAX(Instances!AE11:Instances!AE11)-MIN(Instances!AE11:Instances!AE11))</f>
        <v>0</v>
      </c>
      <c r="AF11" s="1"/>
      <c r="AG11" s="1" cm="1">
        <f t="array" ref="AG11">_xlfn.SWITCH($A$2,"average", AVERAGE(Instances!AG11:Instances!AG11),"median", MEDIAN(Instances!AG11:Instances!AG11),"min", MIN(Instances!AG11:Instances!AG11),"max", MAX(Instances!AG11:Instances!AG11),"diff", MAX(Instances!AG11:Instances!AG11)-MIN(Instances!AG11:Instances!AG11))</f>
        <v>0</v>
      </c>
      <c r="AH11" s="1" cm="1">
        <f t="array" ref="AH11">_xlfn.SWITCH($A$2,"average", AVERAGE(Instances!AH11:Instances!AH11),"median", MEDIAN(Instances!AH11:Instances!AH11),"min", MIN(Instances!AH11:Instances!AH11),"max", MAX(Instances!AH11:Instances!AH11),"diff", MAX(Instances!AH11:Instances!AH11)-MIN(Instances!AH11:Instances!AH11))</f>
        <v>0</v>
      </c>
      <c r="AI11" s="1" cm="1">
        <f t="array" ref="AI11">_xlfn.SWITCH($A$2,"average", AVERAGE(Instances!AI11:Instances!AI11),"median", MEDIAN(Instances!AI11:Instances!AI11),"min", MIN(Instances!AI11:Instances!AI11),"max", MAX(Instances!AI11:Instances!AI11),"diff", MAX(Instances!AI11:Instances!AI11)-MIN(Instances!AI11:Instances!AI11))</f>
        <v>0</v>
      </c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 cm="1">
        <f t="array" ref="AL11">_xlfn.SWITCH($A$2,"average", AVERAGE(Instances!AL11:Instances!AL11),"median", MEDIAN(Instances!AL11:Instances!AL11),"min", MIN(Instances!AL11:Instances!AL11),"max", MAX(Instances!AL11:Instances!AL11),"diff", MAX(Instances!AL11:Instances!AL11)-MIN(Instances!AL11:Instances!AL11))</f>
        <v>0</v>
      </c>
      <c r="AM11" s="1"/>
      <c r="AN11" s="1" cm="1">
        <f t="array" ref="AN11">_xlfn.SWITCH($A$2,"average", AVERAGE(Instances!AN11:Instances!AN11),"median", MEDIAN(Instances!AN11:Instances!AN11),"min", MIN(Instances!AN11:Instances!AN11),"max", MAX(Instances!AN11:Instances!AN11),"diff", MAX(Instances!AN11:Instances!AN11)-MIN(Instances!AN11:Instances!AN11))</f>
        <v>0</v>
      </c>
      <c r="AO11" s="1" cm="1">
        <f t="array" ref="AO11">_xlfn.SWITCH($A$2,"average", AVERAGE(Instances!AO11:Instances!AO11),"median", MEDIAN(Instances!AO11:Instances!AO11),"min", MIN(Instances!AO11:Instances!AO11),"max", MAX(Instances!AO11:Instances!AO11),"diff", MAX(Instances!AO11:Instances!AO11)-MIN(Instances!AO11:Instances!AO11))</f>
        <v>0</v>
      </c>
      <c r="AP11" s="1" cm="1">
        <f t="array" ref="AP11">_xlfn.SWITCH($A$2,"average", AVERAGE(Instances!AP11:Instances!AP11),"median", MEDIAN(Instances!AP11:Instances!AP11),"min", MIN(Instances!AP11:Instances!AP11),"max", MAX(Instances!AP11:Instances!AP11),"diff", MAX(Instances!AP11:Instances!AP11)-MIN(Instances!AP11:Instances!AP11))</f>
        <v>0</v>
      </c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/>
      <c r="D12" s="1"/>
      <c r="E12" s="1"/>
      <c r="F12" s="1"/>
      <c r="G12" s="1"/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 cm="1">
        <f t="array" ref="X12">_xlfn.SWITCH($A$2,"average", AVERAGE(Instances!X12:Instances!X12),"median", MEDIAN(Instances!X12:Instances!X12),"min", MIN(Instances!X12:Instances!X12),"max", MAX(Instances!X12:Instances!X12),"diff", MAX(Instances!X12:Instances!X12)-MIN(Instances!X12:Instances!X12))</f>
        <v>0</v>
      </c>
      <c r="Y12" s="1"/>
      <c r="Z12" s="1" cm="1">
        <f t="array" ref="Z12">_xlfn.SWITCH($A$2,"average", AVERAGE(Instances!Z12:Instances!Z12),"median", MEDIAN(Instances!Z12:Instances!Z12),"min", MIN(Instances!Z12:Instances!Z12),"max", MAX(Instances!Z12:Instances!Z12),"diff", MAX(Instances!Z12:Instances!Z12)-MIN(Instances!Z12:Instances!Z12))</f>
        <v>0</v>
      </c>
      <c r="AA12" s="1" cm="1">
        <f t="array" ref="AA12">_xlfn.SWITCH($A$2,"average", AVERAGE(Instances!AA12:Instances!AA12),"median", MEDIAN(Instances!AA12:Instances!AA12),"min", MIN(Instances!AA12:Instances!AA12),"max", MAX(Instances!AA12:Instances!AA12),"diff", MAX(Instances!AA12:Instances!AA12)-MIN(Instances!AA12:Instances!AA12))</f>
        <v>0</v>
      </c>
      <c r="AB12" s="1" cm="1">
        <f t="array" ref="AB12">_xlfn.SWITCH($A$2,"average", AVERAGE(Instances!AB12:Instances!AB12),"median", MEDIAN(Instances!AB12:Instances!AB12),"min", MIN(Instances!AB12:Instances!AB12),"max", MAX(Instances!AB12:Instances!AB12),"diff", MAX(Instances!AB12:Instances!AB12)-MIN(Instances!AB12:Instances!AB12))</f>
        <v>0</v>
      </c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 cm="1">
        <f t="array" ref="AE12">_xlfn.SWITCH($A$2,"average", AVERAGE(Instances!AE12:Instances!AE12),"median", MEDIAN(Instances!AE12:Instances!AE12),"min", MIN(Instances!AE12:Instances!AE12),"max", MAX(Instances!AE12:Instances!AE12),"diff", MAX(Instances!AE12:Instances!AE12)-MIN(Instances!AE12:Instances!AE12))</f>
        <v>0</v>
      </c>
      <c r="AF12" s="1"/>
      <c r="AG12" s="1" cm="1">
        <f t="array" ref="AG12">_xlfn.SWITCH($A$2,"average", AVERAGE(Instances!AG12:Instances!AG12),"median", MEDIAN(Instances!AG12:Instances!AG12),"min", MIN(Instances!AG12:Instances!AG12),"max", MAX(Instances!AG12:Instances!AG12),"diff", MAX(Instances!AG12:Instances!AG12)-MIN(Instances!AG12:Instances!AG12))</f>
        <v>0</v>
      </c>
      <c r="AH12" s="1" cm="1">
        <f t="array" ref="AH12">_xlfn.SWITCH($A$2,"average", AVERAGE(Instances!AH12:Instances!AH12),"median", MEDIAN(Instances!AH12:Instances!AH12),"min", MIN(Instances!AH12:Instances!AH12),"max", MAX(Instances!AH12:Instances!AH12),"diff", MAX(Instances!AH12:Instances!AH12)-MIN(Instances!AH12:Instances!AH12))</f>
        <v>0</v>
      </c>
      <c r="AI12" s="1" cm="1">
        <f t="array" ref="AI12">_xlfn.SWITCH($A$2,"average", AVERAGE(Instances!AI12:Instances!AI12),"median", MEDIAN(Instances!AI12:Instances!AI12),"min", MIN(Instances!AI12:Instances!AI12),"max", MAX(Instances!AI12:Instances!AI12),"diff", MAX(Instances!AI12:Instances!AI12)-MIN(Instances!AI12:Instances!AI12))</f>
        <v>0</v>
      </c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 cm="1">
        <f t="array" ref="AL12">_xlfn.SWITCH($A$2,"average", AVERAGE(Instances!AL12:Instances!AL12),"median", MEDIAN(Instances!AL12:Instances!AL12),"min", MIN(Instances!AL12:Instances!AL12),"max", MAX(Instances!AL12:Instances!AL12),"diff", MAX(Instances!AL12:Instances!AL12)-MIN(Instances!AL12:Instances!AL12))</f>
        <v>0</v>
      </c>
      <c r="AM12" s="1"/>
      <c r="AN12" s="1" cm="1">
        <f t="array" ref="AN12">_xlfn.SWITCH($A$2,"average", AVERAGE(Instances!AN12:Instances!AN12),"median", MEDIAN(Instances!AN12:Instances!AN12),"min", MIN(Instances!AN12:Instances!AN12),"max", MAX(Instances!AN12:Instances!AN12),"diff", MAX(Instances!AN12:Instances!AN12)-MIN(Instances!AN12:Instances!AN12))</f>
        <v>0</v>
      </c>
      <c r="AO12" s="1" cm="1">
        <f t="array" ref="AO12">_xlfn.SWITCH($A$2,"average", AVERAGE(Instances!AO12:Instances!AO12),"median", MEDIAN(Instances!AO12:Instances!AO12),"min", MIN(Instances!AO12:Instances!AO12),"max", MAX(Instances!AO12:Instances!AO12),"diff", MAX(Instances!AO12:Instances!AO12)-MIN(Instances!AO12:Instances!AO12))</f>
        <v>0</v>
      </c>
      <c r="AP12" s="1" cm="1">
        <f t="array" ref="AP12">_xlfn.SWITCH($A$2,"average", AVERAGE(Instances!AP12:Instances!AP12),"median", MEDIAN(Instances!AP12:Instances!AP12),"min", MIN(Instances!AP12:Instances!AP12),"max", MAX(Instances!AP12:Instances!AP12),"diff", MAX(Instances!AP12:Instances!AP12)-MIN(Instances!AP12:Instances!AP12))</f>
        <v>0</v>
      </c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27</v>
      </c>
      <c r="J1" s="1"/>
      <c r="K1" s="1"/>
      <c r="L1" s="1"/>
      <c r="M1" s="1"/>
      <c r="N1" s="1"/>
      <c r="O1" s="1"/>
      <c r="P1" s="1" t="s">
        <v>28</v>
      </c>
      <c r="Q1" s="1"/>
      <c r="R1" s="1"/>
      <c r="S1" s="1"/>
      <c r="T1" s="1"/>
      <c r="U1" s="1"/>
      <c r="V1" s="1"/>
      <c r="W1" s="1" t="s">
        <v>29</v>
      </c>
      <c r="X1" s="1"/>
      <c r="Y1" s="1"/>
      <c r="Z1" s="1"/>
      <c r="AA1" s="1"/>
      <c r="AB1" s="1"/>
      <c r="AC1" s="1"/>
      <c r="AD1" s="1" t="s">
        <v>30</v>
      </c>
      <c r="AE1" s="1"/>
      <c r="AF1" s="1"/>
      <c r="AG1" s="1"/>
      <c r="AH1" s="1"/>
      <c r="AI1" s="1"/>
      <c r="AJ1" s="1"/>
      <c r="AK1" s="1" t="s">
        <v>31</v>
      </c>
      <c r="AL1" s="1"/>
      <c r="AM1" s="1"/>
      <c r="AN1" s="1"/>
      <c r="AO1" s="1"/>
      <c r="AP1" s="1"/>
      <c r="AQ1" s="1"/>
      <c r="AR1" s="1" t="s">
        <v>32</v>
      </c>
      <c r="AS1" s="1"/>
      <c r="AT1" s="1"/>
      <c r="AU1" s="1"/>
      <c r="AV1" s="1"/>
      <c r="AW1" s="1"/>
      <c r="AX1" s="1" t="s">
        <v>33</v>
      </c>
      <c r="AY1" s="1"/>
      <c r="AZ1" s="1"/>
      <c r="BA1" s="1"/>
      <c r="BB1" s="1"/>
      <c r="BC1" s="1"/>
      <c r="BD1" s="1" t="s">
        <v>34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19</v>
      </c>
      <c r="J2" s="1" t="s">
        <v>20</v>
      </c>
      <c r="K2" s="1" t="s">
        <v>21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19</v>
      </c>
      <c r="Q2" s="1" t="s">
        <v>20</v>
      </c>
      <c r="R2" s="1" t="s">
        <v>21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19</v>
      </c>
      <c r="X2" s="1" t="s">
        <v>20</v>
      </c>
      <c r="Y2" s="1" t="s">
        <v>21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  <c r="AI2" s="1" t="s">
        <v>25</v>
      </c>
      <c r="AJ2" s="1" t="s">
        <v>26</v>
      </c>
      <c r="AK2" s="1" t="s">
        <v>19</v>
      </c>
      <c r="AL2" s="1" t="s">
        <v>20</v>
      </c>
      <c r="AM2" s="1" t="s">
        <v>21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19</v>
      </c>
      <c r="AS2" s="1" t="s">
        <v>20</v>
      </c>
      <c r="AT2" s="1" t="s">
        <v>23</v>
      </c>
      <c r="AU2" s="1" t="s">
        <v>24</v>
      </c>
      <c r="AV2" s="1" t="s">
        <v>25</v>
      </c>
      <c r="AW2" s="1" t="s">
        <v>26</v>
      </c>
      <c r="AX2" s="1" t="s">
        <v>19</v>
      </c>
      <c r="AY2" s="1" t="s">
        <v>20</v>
      </c>
      <c r="AZ2" s="1" t="s">
        <v>23</v>
      </c>
      <c r="BA2" s="1" t="s">
        <v>24</v>
      </c>
      <c r="BB2" s="1" t="s">
        <v>25</v>
      </c>
      <c r="BC2" s="1" t="s">
        <v>26</v>
      </c>
      <c r="BD2" s="1" t="s">
        <v>19</v>
      </c>
      <c r="BE2" s="1" t="s">
        <v>20</v>
      </c>
      <c r="BF2" s="1" t="s">
        <v>23</v>
      </c>
      <c r="BG2" s="1" t="s">
        <v>24</v>
      </c>
      <c r="BH2" s="1" t="s">
        <v>25</v>
      </c>
      <c r="BI2" s="1" t="s">
        <v>26</v>
      </c>
    </row>
    <row r="3" spans="1:61">
      <c r="A3" s="1" t="s">
        <v>36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AVERAGE(Instances!W3:Instances!W12)</f>
        <v>0</v>
      </c>
      <c r="X3" s="1">
        <f>AVERAGE(Instances!X3:Instances!X12)</f>
        <v>0</v>
      </c>
      <c r="Y3" s="1"/>
      <c r="Z3" s="1">
        <f>AVERAGE(Instances!Z3:Instances!Z12)</f>
        <v>0</v>
      </c>
      <c r="AA3" s="1">
        <f>AVERAGE(Instances!AA3:Instances!AA12)</f>
        <v>0</v>
      </c>
      <c r="AB3" s="1">
        <f>AVERAGE(Instances!AB3:Instances!AB12)</f>
        <v>0</v>
      </c>
      <c r="AC3" s="1">
        <f>AVERAGE(Instances!AC3:Instances!AC12)</f>
        <v>0</v>
      </c>
      <c r="AD3" s="1">
        <f>AVERAGE(Instances!AD3:Instances!AD12)</f>
        <v>0</v>
      </c>
      <c r="AE3" s="1">
        <f>AVERAGE(Instances!AE3:Instances!AE12)</f>
        <v>0</v>
      </c>
      <c r="AF3" s="1"/>
      <c r="AG3" s="1">
        <f>AVERAGE(Instances!AG3:Instances!AG12)</f>
        <v>0</v>
      </c>
      <c r="AH3" s="1">
        <f>AVERAGE(Instances!AH3:Instances!AH12)</f>
        <v>0</v>
      </c>
      <c r="AI3" s="1">
        <f>AVERAGE(Instances!AI3:Instances!AI12)</f>
        <v>0</v>
      </c>
      <c r="AJ3" s="1">
        <f>AVERAGE(Instances!AJ3:Instances!AJ12)</f>
        <v>0</v>
      </c>
      <c r="AK3" s="1">
        <f>AVERAGE(Instances!AK3:Instances!AK12)</f>
        <v>0</v>
      </c>
      <c r="AL3" s="1">
        <f>AVERAGE(Instances!AL3:Instances!AL12)</f>
        <v>0</v>
      </c>
      <c r="AM3" s="1"/>
      <c r="AN3" s="1">
        <f>AVERAGE(Instances!AN3:Instances!AN12)</f>
        <v>0</v>
      </c>
      <c r="AO3" s="1">
        <f>AVERAGE(Instances!AO3:Instances!AO12)</f>
        <v>0</v>
      </c>
      <c r="AP3" s="1">
        <f>AVERAGE(Instances!AP3:Instances!AP12)</f>
        <v>0</v>
      </c>
      <c r="AQ3" s="1">
        <f>AVERAGE(Instances!AQ3:Instances!AQ12)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</row>
    <row r="6" spans="1:61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</row>
    <row r="7" spans="1:61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</row>
    <row r="8" spans="1:61">
      <c r="A8" s="1" t="s">
        <v>13</v>
      </c>
      <c r="B8" s="1">
        <f>SUMPRODUCT(--(B$3:B$3-$AR$3:$AR$3)^2)^0.5</f>
        <v>0</v>
      </c>
      <c r="C8" s="1">
        <f>SUMPRODUCT(--(C$3:C$3-$AS$3:$AS$3)^2)^0.5</f>
        <v>0</v>
      </c>
      <c r="D8" s="1"/>
      <c r="E8" s="1">
        <f>SUMPRODUCT(--(E$3:E$3-$AT$3:$AT$3)^2)^0.5</f>
        <v>0</v>
      </c>
      <c r="F8" s="1">
        <f>SUMPRODUCT(--(F$3:F$3-$AU$3:$AU$3)^2)^0.5</f>
        <v>0</v>
      </c>
      <c r="G8" s="1">
        <f>SUMPRODUCT(--(G$3:G$3-$AV$3:$AV$3)^2)^0.5</f>
        <v>0</v>
      </c>
      <c r="H8" s="1">
        <f>SUMPRODUCT(--(H$3:H$3-$AW$3:$AW$3)^2)^0.5</f>
        <v>0</v>
      </c>
      <c r="I8" s="1">
        <f>SUMPRODUCT(--(I$3:I$3-$AR$3:$AR$3)^2)^0.5</f>
        <v>0</v>
      </c>
      <c r="J8" s="1">
        <f>SUMPRODUCT(--(J$3:J$3-$AS$3:$AS$3)^2)^0.5</f>
        <v>0</v>
      </c>
      <c r="K8" s="1"/>
      <c r="L8" s="1">
        <f>SUMPRODUCT(--(L$3:L$3-$AT$3:$AT$3)^2)^0.5</f>
        <v>0</v>
      </c>
      <c r="M8" s="1">
        <f>SUMPRODUCT(--(M$3:M$3-$AU$3:$AU$3)^2)^0.5</f>
        <v>0</v>
      </c>
      <c r="N8" s="1">
        <f>SUMPRODUCT(--(N$3:N$3-$AV$3:$AV$3)^2)^0.5</f>
        <v>0</v>
      </c>
      <c r="O8" s="1">
        <f>SUMPRODUCT(--(O$3:O$3-$AW$3:$AW$3)^2)^0.5</f>
        <v>0</v>
      </c>
      <c r="P8" s="1">
        <f>SUMPRODUCT(--(P$3:P$3-$AR$3:$AR$3)^2)^0.5</f>
        <v>0</v>
      </c>
      <c r="Q8" s="1">
        <f>SUMPRODUCT(--(Q$3:Q$3-$AS$3:$AS$3)^2)^0.5</f>
        <v>0</v>
      </c>
      <c r="R8" s="1"/>
      <c r="S8" s="1">
        <f>SUMPRODUCT(--(S$3:S$3-$AT$3:$AT$3)^2)^0.5</f>
        <v>0</v>
      </c>
      <c r="T8" s="1">
        <f>SUMPRODUCT(--(T$3:T$3-$AU$3:$AU$3)^2)^0.5</f>
        <v>0</v>
      </c>
      <c r="U8" s="1">
        <f>SUMPRODUCT(--(U$3:U$3-$AV$3:$AV$3)^2)^0.5</f>
        <v>0</v>
      </c>
      <c r="V8" s="1">
        <f>SUMPRODUCT(--(V$3:V$3-$AW$3:$AW$3)^2)^0.5</f>
        <v>0</v>
      </c>
      <c r="W8" s="1">
        <f>SUMPRODUCT(--(W$3:W$3-$AR$3:$AR$3)^2)^0.5</f>
        <v>0</v>
      </c>
      <c r="X8" s="1">
        <f>SUMPRODUCT(--(X$3:X$3-$AS$3:$AS$3)^2)^0.5</f>
        <v>0</v>
      </c>
      <c r="Y8" s="1"/>
      <c r="Z8" s="1">
        <f>SUMPRODUCT(--(Z$3:Z$3-$AT$3:$AT$3)^2)^0.5</f>
        <v>0</v>
      </c>
      <c r="AA8" s="1">
        <f>SUMPRODUCT(--(AA$3:AA$3-$AU$3:$AU$3)^2)^0.5</f>
        <v>0</v>
      </c>
      <c r="AB8" s="1">
        <f>SUMPRODUCT(--(AB$3:AB$3-$AV$3:$AV$3)^2)^0.5</f>
        <v>0</v>
      </c>
      <c r="AC8" s="1">
        <f>SUMPRODUCT(--(AC$3:AC$3-$AW$3:$AW$3)^2)^0.5</f>
        <v>0</v>
      </c>
      <c r="AD8" s="1">
        <f>SUMPRODUCT(--(AD$3:AD$3-$AR$3:$AR$3)^2)^0.5</f>
        <v>0</v>
      </c>
      <c r="AE8" s="1">
        <f>SUMPRODUCT(--(AE$3:AE$3-$AS$3:$AS$3)^2)^0.5</f>
        <v>0</v>
      </c>
      <c r="AF8" s="1"/>
      <c r="AG8" s="1">
        <f>SUMPRODUCT(--(AG$3:AG$3-$AT$3:$AT$3)^2)^0.5</f>
        <v>0</v>
      </c>
      <c r="AH8" s="1">
        <f>SUMPRODUCT(--(AH$3:AH$3-$AU$3:$AU$3)^2)^0.5</f>
        <v>0</v>
      </c>
      <c r="AI8" s="1">
        <f>SUMPRODUCT(--(AI$3:AI$3-$AV$3:$AV$3)^2)^0.5</f>
        <v>0</v>
      </c>
      <c r="AJ8" s="1">
        <f>SUMPRODUCT(--(AJ$3:AJ$3-$AW$3:$AW$3)^2)^0.5</f>
        <v>0</v>
      </c>
      <c r="AK8" s="1">
        <f>SUMPRODUCT(--(AK$3:AK$3-$AR$3:$AR$3)^2)^0.5</f>
        <v>0</v>
      </c>
      <c r="AL8" s="1">
        <f>SUMPRODUCT(--(AL$3:AL$3-$AS$3:$AS$3)^2)^0.5</f>
        <v>0</v>
      </c>
      <c r="AM8" s="1"/>
      <c r="AN8" s="1">
        <f>SUMPRODUCT(--(AN$3:AN$3-$AT$3:$AT$3)^2)^0.5</f>
        <v>0</v>
      </c>
      <c r="AO8" s="1">
        <f>SUMPRODUCT(--(AO$3:AO$3-$AU$3:$AU$3)^2)^0.5</f>
        <v>0</v>
      </c>
      <c r="AP8" s="1">
        <f>SUMPRODUCT(--(AP$3:AP$3-$AV$3:$AV$3)^2)^0.5</f>
        <v>0</v>
      </c>
      <c r="AQ8" s="1">
        <f>SUMPRODUCT(--(AQ$3:AQ$3-$AW$3:$AW$3)^2)^0.5</f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>
      <c r="A9" s="1" t="s">
        <v>14</v>
      </c>
      <c r="B9" s="1">
        <f>SUMPRODUCT(NOT(ISBLANK(B$3:B$3))*(B$3:B$3=$AR$3:$AR$3))</f>
        <v>0</v>
      </c>
      <c r="C9" s="1">
        <f>SUMPRODUCT(NOT(ISBLANK(C$3:C$3))*(C$3:C$3=$AS$3:$AS$3))</f>
        <v>0</v>
      </c>
      <c r="D9" s="1"/>
      <c r="E9" s="1">
        <f>SUMPRODUCT(NOT(ISBLANK(E$3:E$3))*(E$3:E$3=$AT$3:$AT$3))</f>
        <v>0</v>
      </c>
      <c r="F9" s="1">
        <f>SUMPRODUCT(NOT(ISBLANK(F$3:F$3))*(F$3:F$3=$AU$3:$AU$3))</f>
        <v>0</v>
      </c>
      <c r="G9" s="1">
        <f>SUMPRODUCT(NOT(ISBLANK(G$3:G$3))*(G$3:G$3=$AV$3:$AV$3))</f>
        <v>0</v>
      </c>
      <c r="H9" s="1">
        <f>SUMPRODUCT(NOT(ISBLANK(H$3:H$3))*(H$3:H$3=$AW$3:$AW$3))</f>
        <v>0</v>
      </c>
      <c r="I9" s="1">
        <f>SUMPRODUCT(NOT(ISBLANK(I$3:I$3))*(I$3:I$3=$AR$3:$AR$3))</f>
        <v>0</v>
      </c>
      <c r="J9" s="1">
        <f>SUMPRODUCT(NOT(ISBLANK(J$3:J$3))*(J$3:J$3=$AS$3:$AS$3))</f>
        <v>0</v>
      </c>
      <c r="K9" s="1"/>
      <c r="L9" s="1">
        <f>SUMPRODUCT(NOT(ISBLANK(L$3:L$3))*(L$3:L$3=$AT$3:$AT$3))</f>
        <v>0</v>
      </c>
      <c r="M9" s="1">
        <f>SUMPRODUCT(NOT(ISBLANK(M$3:M$3))*(M$3:M$3=$AU$3:$AU$3))</f>
        <v>0</v>
      </c>
      <c r="N9" s="1">
        <f>SUMPRODUCT(NOT(ISBLANK(N$3:N$3))*(N$3:N$3=$AV$3:$AV$3))</f>
        <v>0</v>
      </c>
      <c r="O9" s="1">
        <f>SUMPRODUCT(NOT(ISBLANK(O$3:O$3))*(O$3:O$3=$AW$3:$AW$3))</f>
        <v>0</v>
      </c>
      <c r="P9" s="1">
        <f>SUMPRODUCT(NOT(ISBLANK(P$3:P$3))*(P$3:P$3=$AR$3:$AR$3))</f>
        <v>0</v>
      </c>
      <c r="Q9" s="1">
        <f>SUMPRODUCT(NOT(ISBLANK(Q$3:Q$3))*(Q$3:Q$3=$AS$3:$AS$3))</f>
        <v>0</v>
      </c>
      <c r="R9" s="1"/>
      <c r="S9" s="1">
        <f>SUMPRODUCT(NOT(ISBLANK(S$3:S$3))*(S$3:S$3=$AT$3:$AT$3))</f>
        <v>0</v>
      </c>
      <c r="T9" s="1">
        <f>SUMPRODUCT(NOT(ISBLANK(T$3:T$3))*(T$3:T$3=$AU$3:$AU$3))</f>
        <v>0</v>
      </c>
      <c r="U9" s="1">
        <f>SUMPRODUCT(NOT(ISBLANK(U$3:U$3))*(U$3:U$3=$AV$3:$AV$3))</f>
        <v>0</v>
      </c>
      <c r="V9" s="1">
        <f>SUMPRODUCT(NOT(ISBLANK(V$3:V$3))*(V$3:V$3=$AW$3:$AW$3))</f>
        <v>0</v>
      </c>
      <c r="W9" s="1">
        <f>SUMPRODUCT(NOT(ISBLANK(W$3:W$3))*(W$3:W$3=$AR$3:$AR$3))</f>
        <v>0</v>
      </c>
      <c r="X9" s="1">
        <f>SUMPRODUCT(NOT(ISBLANK(X$3:X$3))*(X$3:X$3=$AS$3:$AS$3))</f>
        <v>0</v>
      </c>
      <c r="Y9" s="1"/>
      <c r="Z9" s="1">
        <f>SUMPRODUCT(NOT(ISBLANK(Z$3:Z$3))*(Z$3:Z$3=$AT$3:$AT$3))</f>
        <v>0</v>
      </c>
      <c r="AA9" s="1">
        <f>SUMPRODUCT(NOT(ISBLANK(AA$3:AA$3))*(AA$3:AA$3=$AU$3:$AU$3))</f>
        <v>0</v>
      </c>
      <c r="AB9" s="1">
        <f>SUMPRODUCT(NOT(ISBLANK(AB$3:AB$3))*(AB$3:AB$3=$AV$3:$AV$3))</f>
        <v>0</v>
      </c>
      <c r="AC9" s="1">
        <f>SUMPRODUCT(NOT(ISBLANK(AC$3:AC$3))*(AC$3:AC$3=$AW$3:$AW$3))</f>
        <v>0</v>
      </c>
      <c r="AD9" s="1">
        <f>SUMPRODUCT(NOT(ISBLANK(AD$3:AD$3))*(AD$3:AD$3=$AR$3:$AR$3))</f>
        <v>0</v>
      </c>
      <c r="AE9" s="1">
        <f>SUMPRODUCT(NOT(ISBLANK(AE$3:AE$3))*(AE$3:AE$3=$AS$3:$AS$3))</f>
        <v>0</v>
      </c>
      <c r="AF9" s="1"/>
      <c r="AG9" s="1">
        <f>SUMPRODUCT(NOT(ISBLANK(AG$3:AG$3))*(AG$3:AG$3=$AT$3:$AT$3))</f>
        <v>0</v>
      </c>
      <c r="AH9" s="1">
        <f>SUMPRODUCT(NOT(ISBLANK(AH$3:AH$3))*(AH$3:AH$3=$AU$3:$AU$3))</f>
        <v>0</v>
      </c>
      <c r="AI9" s="1">
        <f>SUMPRODUCT(NOT(ISBLANK(AI$3:AI$3))*(AI$3:AI$3=$AV$3:$AV$3))</f>
        <v>0</v>
      </c>
      <c r="AJ9" s="1">
        <f>SUMPRODUCT(NOT(ISBLANK(AJ$3:AJ$3))*(AJ$3:AJ$3=$AW$3:$AW$3))</f>
        <v>0</v>
      </c>
      <c r="AK9" s="1">
        <f>SUMPRODUCT(NOT(ISBLANK(AK$3:AK$3))*(AK$3:AK$3=$AR$3:$AR$3))</f>
        <v>0</v>
      </c>
      <c r="AL9" s="1">
        <f>SUMPRODUCT(NOT(ISBLANK(AL$3:AL$3))*(AL$3:AL$3=$AS$3:$AS$3))</f>
        <v>0</v>
      </c>
      <c r="AM9" s="1"/>
      <c r="AN9" s="1">
        <f>SUMPRODUCT(NOT(ISBLANK(AN$3:AN$3))*(AN$3:AN$3=$AT$3:$AT$3))</f>
        <v>0</v>
      </c>
      <c r="AO9" s="1">
        <f>SUMPRODUCT(NOT(ISBLANK(AO$3:AO$3))*(AO$3:AO$3=$AU$3:$AU$3))</f>
        <v>0</v>
      </c>
      <c r="AP9" s="1">
        <f>SUMPRODUCT(NOT(ISBLANK(AP$3:AP$3))*(AP$3:AP$3=$AV$3:$AV$3))</f>
        <v>0</v>
      </c>
      <c r="AQ9" s="1">
        <f>SUMPRODUCT(NOT(ISBLANK(AQ$3:AQ$3))*(AQ$3:AQ$3=$AW$3:$AW$3))</f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>
      <c r="A10" s="1" t="s">
        <v>15</v>
      </c>
      <c r="B10" s="1">
        <f>SUMPRODUCT(NOT(ISBLANK(B$3:B$3))*(B$3:B$3&lt;$AX$3:$AX$3))</f>
        <v>0</v>
      </c>
      <c r="C10" s="1">
        <f>SUMPRODUCT(NOT(ISBLANK(C$3:C$3))*(C$3:C$3&lt;$AY$3:$AY$3))</f>
        <v>0</v>
      </c>
      <c r="D10" s="1"/>
      <c r="E10" s="1">
        <f>SUMPRODUCT(NOT(ISBLANK(E$3:E$3))*(E$3:E$3&lt;$AZ$3:$AZ$3))</f>
        <v>0</v>
      </c>
      <c r="F10" s="1">
        <f>SUMPRODUCT(NOT(ISBLANK(F$3:F$3))*(F$3:F$3&lt;$BA$3:$BA$3))</f>
        <v>0</v>
      </c>
      <c r="G10" s="1">
        <f>SUMPRODUCT(NOT(ISBLANK(G$3:G$3))*(G$3:G$3&lt;$BB$3:$BB$3))</f>
        <v>0</v>
      </c>
      <c r="H10" s="1">
        <f>SUMPRODUCT(NOT(ISBLANK(H$3:H$3))*(H$3:H$3&lt;$BC$3:$BC$3))</f>
        <v>0</v>
      </c>
      <c r="I10" s="1">
        <f>SUMPRODUCT(NOT(ISBLANK(I$3:I$3))*(I$3:I$3&lt;$AX$3:$AX$3))</f>
        <v>0</v>
      </c>
      <c r="J10" s="1">
        <f>SUMPRODUCT(NOT(ISBLANK(J$3:J$3))*(J$3:J$3&lt;$AY$3:$AY$3))</f>
        <v>0</v>
      </c>
      <c r="K10" s="1"/>
      <c r="L10" s="1">
        <f>SUMPRODUCT(NOT(ISBLANK(L$3:L$3))*(L$3:L$3&lt;$AZ$3:$AZ$3))</f>
        <v>0</v>
      </c>
      <c r="M10" s="1">
        <f>SUMPRODUCT(NOT(ISBLANK(M$3:M$3))*(M$3:M$3&lt;$BA$3:$BA$3))</f>
        <v>0</v>
      </c>
      <c r="N10" s="1">
        <f>SUMPRODUCT(NOT(ISBLANK(N$3:N$3))*(N$3:N$3&lt;$BB$3:$BB$3))</f>
        <v>0</v>
      </c>
      <c r="O10" s="1">
        <f>SUMPRODUCT(NOT(ISBLANK(O$3:O$3))*(O$3:O$3&lt;$BC$3:$BC$3))</f>
        <v>0</v>
      </c>
      <c r="P10" s="1">
        <f>SUMPRODUCT(NOT(ISBLANK(P$3:P$3))*(P$3:P$3&lt;$AX$3:$AX$3))</f>
        <v>0</v>
      </c>
      <c r="Q10" s="1">
        <f>SUMPRODUCT(NOT(ISBLANK(Q$3:Q$3))*(Q$3:Q$3&lt;$AY$3:$AY$3))</f>
        <v>0</v>
      </c>
      <c r="R10" s="1"/>
      <c r="S10" s="1">
        <f>SUMPRODUCT(NOT(ISBLANK(S$3:S$3))*(S$3:S$3&lt;$AZ$3:$AZ$3))</f>
        <v>0</v>
      </c>
      <c r="T10" s="1">
        <f>SUMPRODUCT(NOT(ISBLANK(T$3:T$3))*(T$3:T$3&lt;$BA$3:$BA$3))</f>
        <v>0</v>
      </c>
      <c r="U10" s="1">
        <f>SUMPRODUCT(NOT(ISBLANK(U$3:U$3))*(U$3:U$3&lt;$BB$3:$BB$3))</f>
        <v>0</v>
      </c>
      <c r="V10" s="1">
        <f>SUMPRODUCT(NOT(ISBLANK(V$3:V$3))*(V$3:V$3&lt;$BC$3:$BC$3))</f>
        <v>0</v>
      </c>
      <c r="W10" s="1">
        <f>SUMPRODUCT(NOT(ISBLANK(W$3:W$3))*(W$3:W$3&lt;$AX$3:$AX$3))</f>
        <v>0</v>
      </c>
      <c r="X10" s="1">
        <f>SUMPRODUCT(NOT(ISBLANK(X$3:X$3))*(X$3:X$3&lt;$AY$3:$AY$3))</f>
        <v>0</v>
      </c>
      <c r="Y10" s="1"/>
      <c r="Z10" s="1">
        <f>SUMPRODUCT(NOT(ISBLANK(Z$3:Z$3))*(Z$3:Z$3&lt;$AZ$3:$AZ$3))</f>
        <v>0</v>
      </c>
      <c r="AA10" s="1">
        <f>SUMPRODUCT(NOT(ISBLANK(AA$3:AA$3))*(AA$3:AA$3&lt;$BA$3:$BA$3))</f>
        <v>0</v>
      </c>
      <c r="AB10" s="1">
        <f>SUMPRODUCT(NOT(ISBLANK(AB$3:AB$3))*(AB$3:AB$3&lt;$BB$3:$BB$3))</f>
        <v>0</v>
      </c>
      <c r="AC10" s="1">
        <f>SUMPRODUCT(NOT(ISBLANK(AC$3:AC$3))*(AC$3:AC$3&lt;$BC$3:$BC$3))</f>
        <v>0</v>
      </c>
      <c r="AD10" s="1">
        <f>SUMPRODUCT(NOT(ISBLANK(AD$3:AD$3))*(AD$3:AD$3&lt;$AX$3:$AX$3))</f>
        <v>0</v>
      </c>
      <c r="AE10" s="1">
        <f>SUMPRODUCT(NOT(ISBLANK(AE$3:AE$3))*(AE$3:AE$3&lt;$AY$3:$AY$3))</f>
        <v>0</v>
      </c>
      <c r="AF10" s="1"/>
      <c r="AG10" s="1">
        <f>SUMPRODUCT(NOT(ISBLANK(AG$3:AG$3))*(AG$3:AG$3&lt;$AZ$3:$AZ$3))</f>
        <v>0</v>
      </c>
      <c r="AH10" s="1">
        <f>SUMPRODUCT(NOT(ISBLANK(AH$3:AH$3))*(AH$3:AH$3&lt;$BA$3:$BA$3))</f>
        <v>0</v>
      </c>
      <c r="AI10" s="1">
        <f>SUMPRODUCT(NOT(ISBLANK(AI$3:AI$3))*(AI$3:AI$3&lt;$BB$3:$BB$3))</f>
        <v>0</v>
      </c>
      <c r="AJ10" s="1">
        <f>SUMPRODUCT(NOT(ISBLANK(AJ$3:AJ$3))*(AJ$3:AJ$3&lt;$BC$3:$BC$3))</f>
        <v>0</v>
      </c>
      <c r="AK10" s="1">
        <f>SUMPRODUCT(NOT(ISBLANK(AK$3:AK$3))*(AK$3:AK$3&lt;$AX$3:$AX$3))</f>
        <v>0</v>
      </c>
      <c r="AL10" s="1">
        <f>SUMPRODUCT(NOT(ISBLANK(AL$3:AL$3))*(AL$3:AL$3&lt;$AY$3:$AY$3))</f>
        <v>0</v>
      </c>
      <c r="AM10" s="1"/>
      <c r="AN10" s="1">
        <f>SUMPRODUCT(NOT(ISBLANK(AN$3:AN$3))*(AN$3:AN$3&lt;$AZ$3:$AZ$3))</f>
        <v>0</v>
      </c>
      <c r="AO10" s="1">
        <f>SUMPRODUCT(NOT(ISBLANK(AO$3:AO$3))*(AO$3:AO$3&lt;$BA$3:$BA$3))</f>
        <v>0</v>
      </c>
      <c r="AP10" s="1">
        <f>SUMPRODUCT(NOT(ISBLANK(AP$3:AP$3))*(AP$3:AP$3&lt;$BB$3:$BB$3))</f>
        <v>0</v>
      </c>
      <c r="AQ10" s="1">
        <f>SUMPRODUCT(NOT(ISBLANK(AQ$3:AQ$3))*(AQ$3:AQ$3&lt;$BC$3:$BC$3))</f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>
      <c r="A11" s="1" t="s">
        <v>16</v>
      </c>
      <c r="B11" s="1">
        <f>SUMPRODUCT((NOT(ISBLANK(B$3:B$3))*(B$3:B$3&gt;$AX$3:$AX$3))+ISBLANK(B$3:B$3))</f>
        <v>0</v>
      </c>
      <c r="C11" s="1">
        <f>SUMPRODUCT((NOT(ISBLANK(C$3:C$3))*(C$3:C$3&gt;$AY$3:$AY$3))+ISBLANK(C$3:C$3))</f>
        <v>0</v>
      </c>
      <c r="D11" s="1"/>
      <c r="E11" s="1">
        <f>SUMPRODUCT((NOT(ISBLANK(E$3:E$3))*(E$3:E$3&gt;$AZ$3:$AZ$3))+ISBLANK(E$3:E$3))</f>
        <v>0</v>
      </c>
      <c r="F11" s="1">
        <f>SUMPRODUCT((NOT(ISBLANK(F$3:F$3))*(F$3:F$3&gt;$BA$3:$BA$3))+ISBLANK(F$3:F$3))</f>
        <v>0</v>
      </c>
      <c r="G11" s="1">
        <f>SUMPRODUCT((NOT(ISBLANK(G$3:G$3))*(G$3:G$3&gt;$BB$3:$BB$3))+ISBLANK(G$3:G$3))</f>
        <v>0</v>
      </c>
      <c r="H11" s="1">
        <f>SUMPRODUCT((NOT(ISBLANK(H$3:H$3))*(H$3:H$3&gt;$BC$3:$BC$3))+ISBLANK(H$3:H$3))</f>
        <v>0</v>
      </c>
      <c r="I11" s="1">
        <f>SUMPRODUCT((NOT(ISBLANK(I$3:I$3))*(I$3:I$3&gt;$AX$3:$AX$3))+ISBLANK(I$3:I$3))</f>
        <v>0</v>
      </c>
      <c r="J11" s="1">
        <f>SUMPRODUCT((NOT(ISBLANK(J$3:J$3))*(J$3:J$3&gt;$AY$3:$AY$3))+ISBLANK(J$3:J$3))</f>
        <v>0</v>
      </c>
      <c r="K11" s="1"/>
      <c r="L11" s="1">
        <f>SUMPRODUCT((NOT(ISBLANK(L$3:L$3))*(L$3:L$3&gt;$AZ$3:$AZ$3))+ISBLANK(L$3:L$3))</f>
        <v>0</v>
      </c>
      <c r="M11" s="1">
        <f>SUMPRODUCT((NOT(ISBLANK(M$3:M$3))*(M$3:M$3&gt;$BA$3:$BA$3))+ISBLANK(M$3:M$3))</f>
        <v>0</v>
      </c>
      <c r="N11" s="1">
        <f>SUMPRODUCT((NOT(ISBLANK(N$3:N$3))*(N$3:N$3&gt;$BB$3:$BB$3))+ISBLANK(N$3:N$3))</f>
        <v>0</v>
      </c>
      <c r="O11" s="1">
        <f>SUMPRODUCT((NOT(ISBLANK(O$3:O$3))*(O$3:O$3&gt;$BC$3:$BC$3))+ISBLANK(O$3:O$3))</f>
        <v>0</v>
      </c>
      <c r="P11" s="1">
        <f>SUMPRODUCT((NOT(ISBLANK(P$3:P$3))*(P$3:P$3&gt;$AX$3:$AX$3))+ISBLANK(P$3:P$3))</f>
        <v>0</v>
      </c>
      <c r="Q11" s="1">
        <f>SUMPRODUCT((NOT(ISBLANK(Q$3:Q$3))*(Q$3:Q$3&gt;$AY$3:$AY$3))+ISBLANK(Q$3:Q$3))</f>
        <v>0</v>
      </c>
      <c r="R11" s="1"/>
      <c r="S11" s="1">
        <f>SUMPRODUCT((NOT(ISBLANK(S$3:S$3))*(S$3:S$3&gt;$AZ$3:$AZ$3))+ISBLANK(S$3:S$3))</f>
        <v>0</v>
      </c>
      <c r="T11" s="1">
        <f>SUMPRODUCT((NOT(ISBLANK(T$3:T$3))*(T$3:T$3&gt;$BA$3:$BA$3))+ISBLANK(T$3:T$3))</f>
        <v>0</v>
      </c>
      <c r="U11" s="1">
        <f>SUMPRODUCT((NOT(ISBLANK(U$3:U$3))*(U$3:U$3&gt;$BB$3:$BB$3))+ISBLANK(U$3:U$3))</f>
        <v>0</v>
      </c>
      <c r="V11" s="1">
        <f>SUMPRODUCT((NOT(ISBLANK(V$3:V$3))*(V$3:V$3&gt;$BC$3:$BC$3))+ISBLANK(V$3:V$3))</f>
        <v>0</v>
      </c>
      <c r="W11" s="1">
        <f>SUMPRODUCT((NOT(ISBLANK(W$3:W$3))*(W$3:W$3&gt;$AX$3:$AX$3))+ISBLANK(W$3:W$3))</f>
        <v>0</v>
      </c>
      <c r="X11" s="1">
        <f>SUMPRODUCT((NOT(ISBLANK(X$3:X$3))*(X$3:X$3&gt;$AY$3:$AY$3))+ISBLANK(X$3:X$3))</f>
        <v>0</v>
      </c>
      <c r="Y11" s="1"/>
      <c r="Z11" s="1">
        <f>SUMPRODUCT((NOT(ISBLANK(Z$3:Z$3))*(Z$3:Z$3&gt;$AZ$3:$AZ$3))+ISBLANK(Z$3:Z$3))</f>
        <v>0</v>
      </c>
      <c r="AA11" s="1">
        <f>SUMPRODUCT((NOT(ISBLANK(AA$3:AA$3))*(AA$3:AA$3&gt;$BA$3:$BA$3))+ISBLANK(AA$3:AA$3))</f>
        <v>0</v>
      </c>
      <c r="AB11" s="1">
        <f>SUMPRODUCT((NOT(ISBLANK(AB$3:AB$3))*(AB$3:AB$3&gt;$BB$3:$BB$3))+ISBLANK(AB$3:AB$3))</f>
        <v>0</v>
      </c>
      <c r="AC11" s="1">
        <f>SUMPRODUCT((NOT(ISBLANK(AC$3:AC$3))*(AC$3:AC$3&gt;$BC$3:$BC$3))+ISBLANK(AC$3:AC$3))</f>
        <v>0</v>
      </c>
      <c r="AD11" s="1">
        <f>SUMPRODUCT((NOT(ISBLANK(AD$3:AD$3))*(AD$3:AD$3&gt;$AX$3:$AX$3))+ISBLANK(AD$3:AD$3))</f>
        <v>0</v>
      </c>
      <c r="AE11" s="1">
        <f>SUMPRODUCT((NOT(ISBLANK(AE$3:AE$3))*(AE$3:AE$3&gt;$AY$3:$AY$3))+ISBLANK(AE$3:AE$3))</f>
        <v>0</v>
      </c>
      <c r="AF11" s="1"/>
      <c r="AG11" s="1">
        <f>SUMPRODUCT((NOT(ISBLANK(AG$3:AG$3))*(AG$3:AG$3&gt;$AZ$3:$AZ$3))+ISBLANK(AG$3:AG$3))</f>
        <v>0</v>
      </c>
      <c r="AH11" s="1">
        <f>SUMPRODUCT((NOT(ISBLANK(AH$3:AH$3))*(AH$3:AH$3&gt;$BA$3:$BA$3))+ISBLANK(AH$3:AH$3))</f>
        <v>0</v>
      </c>
      <c r="AI11" s="1">
        <f>SUMPRODUCT((NOT(ISBLANK(AI$3:AI$3))*(AI$3:AI$3&gt;$BB$3:$BB$3))+ISBLANK(AI$3:AI$3))</f>
        <v>0</v>
      </c>
      <c r="AJ11" s="1">
        <f>SUMPRODUCT((NOT(ISBLANK(AJ$3:AJ$3))*(AJ$3:AJ$3&gt;$BC$3:$BC$3))+ISBLANK(AJ$3:AJ$3))</f>
        <v>0</v>
      </c>
      <c r="AK11" s="1">
        <f>SUMPRODUCT((NOT(ISBLANK(AK$3:AK$3))*(AK$3:AK$3&gt;$AX$3:$AX$3))+ISBLANK(AK$3:AK$3))</f>
        <v>0</v>
      </c>
      <c r="AL11" s="1">
        <f>SUMPRODUCT((NOT(ISBLANK(AL$3:AL$3))*(AL$3:AL$3&gt;$AY$3:$AY$3))+ISBLANK(AL$3:AL$3))</f>
        <v>0</v>
      </c>
      <c r="AM11" s="1"/>
      <c r="AN11" s="1">
        <f>SUMPRODUCT((NOT(ISBLANK(AN$3:AN$3))*(AN$3:AN$3&gt;$AZ$3:$AZ$3))+ISBLANK(AN$3:AN$3))</f>
        <v>0</v>
      </c>
      <c r="AO11" s="1">
        <f>SUMPRODUCT((NOT(ISBLANK(AO$3:AO$3))*(AO$3:AO$3&gt;$BA$3:$BA$3))+ISBLANK(AO$3:AO$3))</f>
        <v>0</v>
      </c>
      <c r="AP11" s="1">
        <f>SUMPRODUCT((NOT(ISBLANK(AP$3:AP$3))*(AP$3:AP$3&gt;$BB$3:$BB$3))+ISBLANK(AP$3:AP$3))</f>
        <v>0</v>
      </c>
      <c r="AQ11" s="1">
        <f>SUMPRODUCT((NOT(ISBLANK(AQ$3:AQ$3))*(AQ$3:AQ$3&gt;$BC$3:$BC$3))+ISBLANK(AQ$3:AQ$3))</f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>
      <c r="A12" s="1" t="s">
        <v>17</v>
      </c>
      <c r="B12" s="1">
        <f>SUMPRODUCT((NOT(ISBLANK(B$3:B$3))*(B$3:B$3=$BD$3:$BD$3))+ISBLANK(B$3:B$3))</f>
        <v>0</v>
      </c>
      <c r="C12" s="1">
        <f>SUMPRODUCT((NOT(ISBLANK(C$3:C$3))*(C$3:C$3=$BE$3:$BE$3))+ISBLANK(C$3:C$3))</f>
        <v>0</v>
      </c>
      <c r="D12" s="1"/>
      <c r="E12" s="1">
        <f>SUMPRODUCT((NOT(ISBLANK(E$3:E$3))*(E$3:E$3=$BF$3:$BF$3))+ISBLANK(E$3:E$3))</f>
        <v>0</v>
      </c>
      <c r="F12" s="1">
        <f>SUMPRODUCT((NOT(ISBLANK(F$3:F$3))*(F$3:F$3=$BG$3:$BG$3))+ISBLANK(F$3:F$3))</f>
        <v>0</v>
      </c>
      <c r="G12" s="1">
        <f>SUMPRODUCT((NOT(ISBLANK(G$3:G$3))*(G$3:G$3=$BH$3:$BH$3))+ISBLANK(G$3:G$3))</f>
        <v>0</v>
      </c>
      <c r="H12" s="1">
        <f>SUMPRODUCT((NOT(ISBLANK(H$3:H$3))*(H$3:H$3=$BI$3:$BI$3))+ISBLANK(H$3:H$3))</f>
        <v>0</v>
      </c>
      <c r="I12" s="1">
        <f>SUMPRODUCT((NOT(ISBLANK(I$3:I$3))*(I$3:I$3=$BD$3:$BD$3))+ISBLANK(I$3:I$3))</f>
        <v>0</v>
      </c>
      <c r="J12" s="1">
        <f>SUMPRODUCT((NOT(ISBLANK(J$3:J$3))*(J$3:J$3=$BE$3:$BE$3))+ISBLANK(J$3:J$3))</f>
        <v>0</v>
      </c>
      <c r="K12" s="1"/>
      <c r="L12" s="1">
        <f>SUMPRODUCT((NOT(ISBLANK(L$3:L$3))*(L$3:L$3=$BF$3:$BF$3))+ISBLANK(L$3:L$3))</f>
        <v>0</v>
      </c>
      <c r="M12" s="1">
        <f>SUMPRODUCT((NOT(ISBLANK(M$3:M$3))*(M$3:M$3=$BG$3:$BG$3))+ISBLANK(M$3:M$3))</f>
        <v>0</v>
      </c>
      <c r="N12" s="1">
        <f>SUMPRODUCT((NOT(ISBLANK(N$3:N$3))*(N$3:N$3=$BH$3:$BH$3))+ISBLANK(N$3:N$3))</f>
        <v>0</v>
      </c>
      <c r="O12" s="1">
        <f>SUMPRODUCT((NOT(ISBLANK(O$3:O$3))*(O$3:O$3=$BI$3:$BI$3))+ISBLANK(O$3:O$3))</f>
        <v>0</v>
      </c>
      <c r="P12" s="1">
        <f>SUMPRODUCT((NOT(ISBLANK(P$3:P$3))*(P$3:P$3=$BD$3:$BD$3))+ISBLANK(P$3:P$3))</f>
        <v>0</v>
      </c>
      <c r="Q12" s="1">
        <f>SUMPRODUCT((NOT(ISBLANK(Q$3:Q$3))*(Q$3:Q$3=$BE$3:$BE$3))+ISBLANK(Q$3:Q$3))</f>
        <v>0</v>
      </c>
      <c r="R12" s="1"/>
      <c r="S12" s="1">
        <f>SUMPRODUCT((NOT(ISBLANK(S$3:S$3))*(S$3:S$3=$BF$3:$BF$3))+ISBLANK(S$3:S$3))</f>
        <v>0</v>
      </c>
      <c r="T12" s="1">
        <f>SUMPRODUCT((NOT(ISBLANK(T$3:T$3))*(T$3:T$3=$BG$3:$BG$3))+ISBLANK(T$3:T$3))</f>
        <v>0</v>
      </c>
      <c r="U12" s="1">
        <f>SUMPRODUCT((NOT(ISBLANK(U$3:U$3))*(U$3:U$3=$BH$3:$BH$3))+ISBLANK(U$3:U$3))</f>
        <v>0</v>
      </c>
      <c r="V12" s="1">
        <f>SUMPRODUCT((NOT(ISBLANK(V$3:V$3))*(V$3:V$3=$BI$3:$BI$3))+ISBLANK(V$3:V$3))</f>
        <v>0</v>
      </c>
      <c r="W12" s="1">
        <f>SUMPRODUCT((NOT(ISBLANK(W$3:W$3))*(W$3:W$3=$BD$3:$BD$3))+ISBLANK(W$3:W$3))</f>
        <v>0</v>
      </c>
      <c r="X12" s="1">
        <f>SUMPRODUCT((NOT(ISBLANK(X$3:X$3))*(X$3:X$3=$BE$3:$BE$3))+ISBLANK(X$3:X$3))</f>
        <v>0</v>
      </c>
      <c r="Y12" s="1"/>
      <c r="Z12" s="1">
        <f>SUMPRODUCT((NOT(ISBLANK(Z$3:Z$3))*(Z$3:Z$3=$BF$3:$BF$3))+ISBLANK(Z$3:Z$3))</f>
        <v>0</v>
      </c>
      <c r="AA12" s="1">
        <f>SUMPRODUCT((NOT(ISBLANK(AA$3:AA$3))*(AA$3:AA$3=$BG$3:$BG$3))+ISBLANK(AA$3:AA$3))</f>
        <v>0</v>
      </c>
      <c r="AB12" s="1">
        <f>SUMPRODUCT((NOT(ISBLANK(AB$3:AB$3))*(AB$3:AB$3=$BH$3:$BH$3))+ISBLANK(AB$3:AB$3))</f>
        <v>0</v>
      </c>
      <c r="AC12" s="1">
        <f>SUMPRODUCT((NOT(ISBLANK(AC$3:AC$3))*(AC$3:AC$3=$BI$3:$BI$3))+ISBLANK(AC$3:AC$3))</f>
        <v>0</v>
      </c>
      <c r="AD12" s="1">
        <f>SUMPRODUCT((NOT(ISBLANK(AD$3:AD$3))*(AD$3:AD$3=$BD$3:$BD$3))+ISBLANK(AD$3:AD$3))</f>
        <v>0</v>
      </c>
      <c r="AE12" s="1">
        <f>SUMPRODUCT((NOT(ISBLANK(AE$3:AE$3))*(AE$3:AE$3=$BE$3:$BE$3))+ISBLANK(AE$3:AE$3))</f>
        <v>0</v>
      </c>
      <c r="AF12" s="1"/>
      <c r="AG12" s="1">
        <f>SUMPRODUCT((NOT(ISBLANK(AG$3:AG$3))*(AG$3:AG$3=$BF$3:$BF$3))+ISBLANK(AG$3:AG$3))</f>
        <v>0</v>
      </c>
      <c r="AH12" s="1">
        <f>SUMPRODUCT((NOT(ISBLANK(AH$3:AH$3))*(AH$3:AH$3=$BG$3:$BG$3))+ISBLANK(AH$3:AH$3))</f>
        <v>0</v>
      </c>
      <c r="AI12" s="1">
        <f>SUMPRODUCT((NOT(ISBLANK(AI$3:AI$3))*(AI$3:AI$3=$BH$3:$BH$3))+ISBLANK(AI$3:AI$3))</f>
        <v>0</v>
      </c>
      <c r="AJ12" s="1">
        <f>SUMPRODUCT((NOT(ISBLANK(AJ$3:AJ$3))*(AJ$3:AJ$3=$BI$3:$BI$3))+ISBLANK(AJ$3:AJ$3))</f>
        <v>0</v>
      </c>
      <c r="AK12" s="1">
        <f>SUMPRODUCT((NOT(ISBLANK(AK$3:AK$3))*(AK$3:AK$3=$BD$3:$BD$3))+ISBLANK(AK$3:AK$3))</f>
        <v>0</v>
      </c>
      <c r="AL12" s="1">
        <f>SUMPRODUCT((NOT(ISBLANK(AL$3:AL$3))*(AL$3:AL$3=$BE$3:$BE$3))+ISBLANK(AL$3:AL$3))</f>
        <v>0</v>
      </c>
      <c r="AM12" s="1"/>
      <c r="AN12" s="1">
        <f>SUMPRODUCT((NOT(ISBLANK(AN$3:AN$3))*(AN$3:AN$3=$BF$3:$BF$3))+ISBLANK(AN$3:AN$3))</f>
        <v>0</v>
      </c>
      <c r="AO12" s="1">
        <f>SUMPRODUCT((NOT(ISBLANK(AO$3:AO$3))*(AO$3:AO$3=$BG$3:$BG$3))+ISBLANK(AO$3:AO$3))</f>
        <v>0</v>
      </c>
      <c r="AP12" s="1">
        <f>SUMPRODUCT((NOT(ISBLANK(AP$3:AP$3))*(AP$3:AP$3=$BH$3:$BH$3))+ISBLANK(AP$3:AP$3))</f>
        <v>0</v>
      </c>
      <c r="AQ12" s="1">
        <f>SUMPRODUCT((NOT(ISBLANK(AQ$3:AQ$3))*(AQ$3:AQ$3=$BI$3:$BI$3))+ISBLANK(AQ$3:AQ$3))</f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2026-02-17T03:33:32Z</dcterms:created>
  <dcterms:modified xsi:type="dcterms:W3CDTF">2026-02-17T03:33:32Z</dcterms:modified>
</cp:coreProperties>
</file>