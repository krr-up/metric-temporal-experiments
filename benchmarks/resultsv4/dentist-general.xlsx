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<sst xmlns="http://schemas.openxmlformats.org/spreadsheetml/2006/main" count="211" uniqueCount="34">
  <si>
    <t>instances/size-1</t>
  </si>
  <si>
    <t>instances/size-10</t>
  </si>
  <si>
    <t>instances/size-2</t>
  </si>
  <si>
    <t>instances/size-3</t>
  </si>
  <si>
    <t>instances/size-4</t>
  </si>
  <si>
    <t>instances/size-5</t>
  </si>
  <si>
    <t>instances/size-6</t>
  </si>
  <si>
    <t>instances/size-7</t>
  </si>
  <si>
    <t>instances/size-8</t>
  </si>
  <si>
    <t>instances/size-9</t>
  </si>
  <si>
    <t>SUM</t>
  </si>
  <si>
    <t>AVG</t>
  </si>
  <si>
    <t>DEV</t>
  </si>
  <si>
    <t>DST</t>
  </si>
  <si>
    <t>BEST</t>
  </si>
  <si>
    <t>BETTER</t>
  </si>
  <si>
    <t>WORSE</t>
  </si>
  <si>
    <t>WORST</t>
  </si>
  <si>
    <t>memelingo-1/goal_mlp-tplp-ht</t>
  </si>
  <si>
    <t>time</t>
  </si>
  <si>
    <t>stime</t>
  </si>
  <si>
    <t>status</t>
  </si>
  <si>
    <t>SATISFIABLE</t>
  </si>
  <si>
    <t>rules</t>
  </si>
  <si>
    <t>ctime</t>
  </si>
  <si>
    <t>fmtime</t>
  </si>
  <si>
    <t>memout</t>
  </si>
  <si>
    <t>memelingo-1/goal_mlp-tplp-htc</t>
  </si>
  <si>
    <t>memelingo-1/goal_mlp-tplp-htcdl</t>
  </si>
  <si>
    <t>min</t>
  </si>
  <si>
    <t>median</t>
  </si>
  <si>
    <t>max</t>
  </si>
  <si>
    <t>Merge criteria:</t>
  </si>
  <si>
    <t>instances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</si>
</sst>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28515625" customWidth="1"/>
    <col min="2" max="3" width="11.42578125" customWidth="1"/>
    <col min="4" max="4" width="11.7109375" customWidth="1"/>
    <col min="5" max="10" width="11.42578125" customWidth="1"/>
    <col min="11" max="11" width="11.7109375" customWidth="1"/>
    <col min="12" max="17" width="11.42578125" customWidth="1"/>
    <col min="18" max="18" width="11.7109375" customWidth="1"/>
    <col min="19" max="40" width="11.42578125" customWidth="1"/>
  </cols>
  <sheetData>
    <row r="1" spans="1:40">
      <c r="A1" s="1"/>
      <c r="B1" s="1" t="s">
        <v>18</v>
      </c>
      <c r="C1" s="1"/>
      <c r="D1" s="1"/>
      <c r="E1" s="1"/>
      <c r="F1" s="1"/>
      <c r="G1" s="1"/>
      <c r="H1" s="1"/>
      <c r="I1" s="1" t="s">
        <v>27</v>
      </c>
      <c r="J1" s="1"/>
      <c r="K1" s="1"/>
      <c r="L1" s="1"/>
      <c r="M1" s="1"/>
      <c r="N1" s="1"/>
      <c r="O1" s="1"/>
      <c r="P1" s="1" t="s">
        <v>28</v>
      </c>
      <c r="Q1" s="1"/>
      <c r="R1" s="1"/>
      <c r="S1" s="1"/>
      <c r="T1" s="1"/>
      <c r="U1" s="1"/>
      <c r="V1" s="1"/>
      <c r="W1" s="1" t="s">
        <v>29</v>
      </c>
      <c r="X1" s="1"/>
      <c r="Y1" s="1"/>
      <c r="Z1" s="1"/>
      <c r="AA1" s="1"/>
      <c r="AB1" s="1"/>
      <c r="AC1" s="1" t="s">
        <v>30</v>
      </c>
      <c r="AD1" s="1"/>
      <c r="AE1" s="1"/>
      <c r="AF1" s="1"/>
      <c r="AG1" s="1"/>
      <c r="AH1" s="1"/>
      <c r="AI1" s="1" t="s">
        <v>31</v>
      </c>
      <c r="AJ1" s="1"/>
      <c r="AK1" s="1"/>
      <c r="AL1" s="1"/>
      <c r="AM1" s="1"/>
      <c r="AN1" s="1"/>
    </row>
    <row r="2" spans="1:40">
      <c r="A2" s="1"/>
      <c r="B2" s="1" t="s">
        <v>19</v>
      </c>
      <c r="C2" s="1" t="s">
        <v>20</v>
      </c>
      <c r="D2" s="1" t="s">
        <v>21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19</v>
      </c>
      <c r="J2" s="1" t="s">
        <v>20</v>
      </c>
      <c r="K2" s="1" t="s">
        <v>21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19</v>
      </c>
      <c r="Q2" s="1" t="s">
        <v>20</v>
      </c>
      <c r="R2" s="1" t="s">
        <v>21</v>
      </c>
      <c r="S2" s="1" t="s">
        <v>23</v>
      </c>
      <c r="T2" s="1" t="s">
        <v>24</v>
      </c>
      <c r="U2" s="1" t="s">
        <v>25</v>
      </c>
      <c r="V2" s="1" t="s">
        <v>26</v>
      </c>
      <c r="W2" s="1" t="s">
        <v>19</v>
      </c>
      <c r="X2" s="1" t="s">
        <v>20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19</v>
      </c>
      <c r="AD2" s="1" t="s">
        <v>20</v>
      </c>
      <c r="AE2" s="1" t="s">
        <v>23</v>
      </c>
      <c r="AF2" s="1" t="s">
        <v>24</v>
      </c>
      <c r="AG2" s="1" t="s">
        <v>25</v>
      </c>
      <c r="AH2" s="1" t="s">
        <v>26</v>
      </c>
      <c r="AI2" s="1" t="s">
        <v>19</v>
      </c>
      <c r="AJ2" s="1" t="s">
        <v>20</v>
      </c>
      <c r="AK2" s="1" t="s">
        <v>23</v>
      </c>
      <c r="AL2" s="1" t="s">
        <v>24</v>
      </c>
      <c r="AM2" s="1" t="s">
        <v>25</v>
      </c>
      <c r="AN2" s="1" t="s">
        <v>26</v>
      </c>
    </row>
    <row r="3" spans="1:40">
      <c r="A3" s="1" t="s">
        <v>0</v>
      </c>
      <c r="B3" s="1">
        <v>1.62</v>
      </c>
      <c r="C3" s="1">
        <v>0.1</v>
      </c>
      <c r="D3" s="1" t="s">
        <v>22</v>
      </c>
      <c r="E3" s="1">
        <v>376977</v>
      </c>
      <c r="F3" s="1">
        <v>0.755</v>
      </c>
      <c r="G3" s="1">
        <v>0.02</v>
      </c>
      <c r="H3" s="1">
        <v>0</v>
      </c>
      <c r="I3" s="1">
        <v>0.97</v>
      </c>
      <c r="J3" s="1">
        <v>0</v>
      </c>
      <c r="K3" s="1" t="s">
        <v>22</v>
      </c>
      <c r="L3" s="1">
        <v>2407</v>
      </c>
      <c r="M3" s="1">
        <v>0.104</v>
      </c>
      <c r="N3" s="1">
        <v>0</v>
      </c>
      <c r="O3" s="1">
        <v>0</v>
      </c>
      <c r="P3" s="1">
        <v>1.01</v>
      </c>
      <c r="Q3" s="1">
        <v>0</v>
      </c>
      <c r="R3" s="1" t="s">
        <v>22</v>
      </c>
      <c r="S3" s="1">
        <v>2407</v>
      </c>
      <c r="T3" s="1">
        <v>0.095</v>
      </c>
      <c r="U3" s="1">
        <v>0</v>
      </c>
      <c r="V3" s="1">
        <v>0</v>
      </c>
      <c r="W3" s="1">
        <f>MIN($B3,$I3,$P3)</f>
        <v>0</v>
      </c>
      <c r="X3" s="1">
        <f>MIN($C3,$J3,$Q3)</f>
        <v>0</v>
      </c>
      <c r="Y3" s="1">
        <f>MIN($E3,$L3,$S3)</f>
        <v>0</v>
      </c>
      <c r="Z3" s="1">
        <f>MIN($F3,$M3,$T3)</f>
        <v>0</v>
      </c>
      <c r="AA3" s="1">
        <f>MIN($G3,$N3,$U3)</f>
        <v>0</v>
      </c>
      <c r="AB3" s="1">
        <f>MIN($H3,$O3,$V3)</f>
        <v>0</v>
      </c>
      <c r="AC3" s="1">
        <f>MEDIAN($B3,$I3,$P3)</f>
        <v>0</v>
      </c>
      <c r="AD3" s="1">
        <f>MEDIAN($C3,$J3,$Q3)</f>
        <v>0</v>
      </c>
      <c r="AE3" s="1">
        <f>MEDIAN($E3,$L3,$S3)</f>
        <v>0</v>
      </c>
      <c r="AF3" s="1">
        <f>MEDIAN($F3,$M3,$T3)</f>
        <v>0</v>
      </c>
      <c r="AG3" s="1">
        <f>MEDIAN($G3,$N3,$U3)</f>
        <v>0</v>
      </c>
      <c r="AH3" s="1">
        <f>MEDIAN($H3,$O3,$V3)</f>
        <v>0</v>
      </c>
      <c r="AI3" s="1">
        <f>MAX($B3,$I3,$P3)</f>
        <v>0</v>
      </c>
      <c r="AJ3" s="1">
        <f>MAX($C3,$J3,$Q3)</f>
        <v>0</v>
      </c>
      <c r="AK3" s="1">
        <f>MAX($E3,$L3,$S3)</f>
        <v>0</v>
      </c>
      <c r="AL3" s="1">
        <f>MAX($F3,$M3,$T3)</f>
        <v>0</v>
      </c>
      <c r="AM3" s="1">
        <f>MAX($G3,$N3,$U3)</f>
        <v>0</v>
      </c>
      <c r="AN3" s="1">
        <f>MAX($H3,$O3,$V3)</f>
        <v>0</v>
      </c>
    </row>
    <row r="4" spans="1:40">
      <c r="A4" s="1" t="s">
        <v>1</v>
      </c>
      <c r="B4" s="1">
        <v>1200</v>
      </c>
      <c r="C4" s="1"/>
      <c r="D4" s="1"/>
      <c r="E4" s="1"/>
      <c r="F4" s="1"/>
      <c r="G4" s="1"/>
      <c r="H4" s="1">
        <v>0</v>
      </c>
      <c r="I4" s="1">
        <v>1.03</v>
      </c>
      <c r="J4" s="1">
        <v>0.01</v>
      </c>
      <c r="K4" s="1" t="s">
        <v>22</v>
      </c>
      <c r="L4" s="1">
        <v>2407</v>
      </c>
      <c r="M4" s="1">
        <v>0.114</v>
      </c>
      <c r="N4" s="1">
        <v>0</v>
      </c>
      <c r="O4" s="1">
        <v>0</v>
      </c>
      <c r="P4" s="1">
        <v>1.02</v>
      </c>
      <c r="Q4" s="1">
        <v>0</v>
      </c>
      <c r="R4" s="1" t="s">
        <v>22</v>
      </c>
      <c r="S4" s="1">
        <v>2407</v>
      </c>
      <c r="T4" s="1">
        <v>0.104</v>
      </c>
      <c r="U4" s="1">
        <v>0</v>
      </c>
      <c r="V4" s="1">
        <v>0</v>
      </c>
      <c r="W4" s="1">
        <f>MIN($B4,$I4,$P4)</f>
        <v>0</v>
      </c>
      <c r="X4" s="1">
        <f>MIN($C4,$J4,$Q4)</f>
        <v>0</v>
      </c>
      <c r="Y4" s="1">
        <f>MIN($E4,$L4,$S4)</f>
        <v>0</v>
      </c>
      <c r="Z4" s="1">
        <f>MIN($F4,$M4,$T4)</f>
        <v>0</v>
      </c>
      <c r="AA4" s="1">
        <f>MIN($G4,$N4,$U4)</f>
        <v>0</v>
      </c>
      <c r="AB4" s="1">
        <f>MIN($H4,$O4,$V4)</f>
        <v>0</v>
      </c>
      <c r="AC4" s="1">
        <f>MEDIAN($B4,$I4,$P4)</f>
        <v>0</v>
      </c>
      <c r="AD4" s="1">
        <f>MEDIAN($C4,$J4,$Q4)</f>
        <v>0</v>
      </c>
      <c r="AE4" s="1">
        <f>MEDIAN($E4,$L4,$S4)</f>
        <v>0</v>
      </c>
      <c r="AF4" s="1">
        <f>MEDIAN($F4,$M4,$T4)</f>
        <v>0</v>
      </c>
      <c r="AG4" s="1">
        <f>MEDIAN($G4,$N4,$U4)</f>
        <v>0</v>
      </c>
      <c r="AH4" s="1">
        <f>MEDIAN($H4,$O4,$V4)</f>
        <v>0</v>
      </c>
      <c r="AI4" s="1">
        <f>MAX($B4,$I4,$P4)</f>
        <v>0</v>
      </c>
      <c r="AJ4" s="1">
        <f>MAX($C4,$J4,$Q4)</f>
        <v>0</v>
      </c>
      <c r="AK4" s="1">
        <f>MAX($E4,$L4,$S4)</f>
        <v>0</v>
      </c>
      <c r="AL4" s="1">
        <f>MAX($F4,$M4,$T4)</f>
        <v>0</v>
      </c>
      <c r="AM4" s="1">
        <f>MAX($G4,$N4,$U4)</f>
        <v>0</v>
      </c>
      <c r="AN4" s="1">
        <f>MAX($H4,$O4,$V4)</f>
        <v>0</v>
      </c>
    </row>
    <row r="5" spans="1:40">
      <c r="A5" s="1" t="s">
        <v>2</v>
      </c>
      <c r="B5" s="1">
        <v>13.43</v>
      </c>
      <c r="C5" s="1">
        <v>9.369999999999999</v>
      </c>
      <c r="D5" s="1" t="s">
        <v>22</v>
      </c>
      <c r="E5" s="1">
        <v>1516817</v>
      </c>
      <c r="F5" s="1">
        <v>12.53</v>
      </c>
      <c r="G5" s="1">
        <v>0.26</v>
      </c>
      <c r="H5" s="1">
        <v>0</v>
      </c>
      <c r="I5" s="1">
        <v>1.01</v>
      </c>
      <c r="J5" s="1">
        <v>0</v>
      </c>
      <c r="K5" s="1" t="s">
        <v>22</v>
      </c>
      <c r="L5" s="1">
        <v>2407</v>
      </c>
      <c r="M5" s="1">
        <v>0.111</v>
      </c>
      <c r="N5" s="1">
        <v>0</v>
      </c>
      <c r="O5" s="1">
        <v>0</v>
      </c>
      <c r="P5" s="1">
        <v>1.04</v>
      </c>
      <c r="Q5" s="1">
        <v>0</v>
      </c>
      <c r="R5" s="1" t="s">
        <v>22</v>
      </c>
      <c r="S5" s="1">
        <v>2407</v>
      </c>
      <c r="T5" s="1">
        <v>0.091</v>
      </c>
      <c r="U5" s="1">
        <v>0</v>
      </c>
      <c r="V5" s="1">
        <v>0</v>
      </c>
      <c r="W5" s="1">
        <f>MIN($B5,$I5,$P5)</f>
        <v>0</v>
      </c>
      <c r="X5" s="1">
        <f>MIN($C5,$J5,$Q5)</f>
        <v>0</v>
      </c>
      <c r="Y5" s="1">
        <f>MIN($E5,$L5,$S5)</f>
        <v>0</v>
      </c>
      <c r="Z5" s="1">
        <f>MIN($F5,$M5,$T5)</f>
        <v>0</v>
      </c>
      <c r="AA5" s="1">
        <f>MIN($G5,$N5,$U5)</f>
        <v>0</v>
      </c>
      <c r="AB5" s="1">
        <f>MIN($H5,$O5,$V5)</f>
        <v>0</v>
      </c>
      <c r="AC5" s="1">
        <f>MEDIAN($B5,$I5,$P5)</f>
        <v>0</v>
      </c>
      <c r="AD5" s="1">
        <f>MEDIAN($C5,$J5,$Q5)</f>
        <v>0</v>
      </c>
      <c r="AE5" s="1">
        <f>MEDIAN($E5,$L5,$S5)</f>
        <v>0</v>
      </c>
      <c r="AF5" s="1">
        <f>MEDIAN($F5,$M5,$T5)</f>
        <v>0</v>
      </c>
      <c r="AG5" s="1">
        <f>MEDIAN($G5,$N5,$U5)</f>
        <v>0</v>
      </c>
      <c r="AH5" s="1">
        <f>MEDIAN($H5,$O5,$V5)</f>
        <v>0</v>
      </c>
      <c r="AI5" s="1">
        <f>MAX($B5,$I5,$P5)</f>
        <v>0</v>
      </c>
      <c r="AJ5" s="1">
        <f>MAX($C5,$J5,$Q5)</f>
        <v>0</v>
      </c>
      <c r="AK5" s="1">
        <f>MAX($E5,$L5,$S5)</f>
        <v>0</v>
      </c>
      <c r="AL5" s="1">
        <f>MAX($F5,$M5,$T5)</f>
        <v>0</v>
      </c>
      <c r="AM5" s="1">
        <f>MAX($G5,$N5,$U5)</f>
        <v>0</v>
      </c>
      <c r="AN5" s="1">
        <f>MAX($H5,$O5,$V5)</f>
        <v>0</v>
      </c>
    </row>
    <row r="6" spans="1:40">
      <c r="A6" s="1" t="s">
        <v>3</v>
      </c>
      <c r="B6" s="1">
        <v>39.91</v>
      </c>
      <c r="C6" s="1">
        <v>30.87</v>
      </c>
      <c r="D6" s="1" t="s">
        <v>22</v>
      </c>
      <c r="E6" s="1">
        <v>3421857</v>
      </c>
      <c r="F6" s="1">
        <v>38.964</v>
      </c>
      <c r="G6" s="1">
        <v>0.79</v>
      </c>
      <c r="H6" s="1">
        <v>0</v>
      </c>
      <c r="I6" s="1">
        <v>0.9</v>
      </c>
      <c r="J6" s="1">
        <v>0</v>
      </c>
      <c r="K6" s="1" t="s">
        <v>22</v>
      </c>
      <c r="L6" s="1">
        <v>2407</v>
      </c>
      <c r="M6" s="1">
        <v>0.106</v>
      </c>
      <c r="N6" s="1">
        <v>0</v>
      </c>
      <c r="O6" s="1">
        <v>0</v>
      </c>
      <c r="P6" s="1">
        <v>0.98</v>
      </c>
      <c r="Q6" s="1">
        <v>0</v>
      </c>
      <c r="R6" s="1" t="s">
        <v>22</v>
      </c>
      <c r="S6" s="1">
        <v>2407</v>
      </c>
      <c r="T6" s="1">
        <v>0.091</v>
      </c>
      <c r="U6" s="1">
        <v>0</v>
      </c>
      <c r="V6" s="1">
        <v>0</v>
      </c>
      <c r="W6" s="1">
        <f>MIN($B6,$I6,$P6)</f>
        <v>0</v>
      </c>
      <c r="X6" s="1">
        <f>MIN($C6,$J6,$Q6)</f>
        <v>0</v>
      </c>
      <c r="Y6" s="1">
        <f>MIN($E6,$L6,$S6)</f>
        <v>0</v>
      </c>
      <c r="Z6" s="1">
        <f>MIN($F6,$M6,$T6)</f>
        <v>0</v>
      </c>
      <c r="AA6" s="1">
        <f>MIN($G6,$N6,$U6)</f>
        <v>0</v>
      </c>
      <c r="AB6" s="1">
        <f>MIN($H6,$O6,$V6)</f>
        <v>0</v>
      </c>
      <c r="AC6" s="1">
        <f>MEDIAN($B6,$I6,$P6)</f>
        <v>0</v>
      </c>
      <c r="AD6" s="1">
        <f>MEDIAN($C6,$J6,$Q6)</f>
        <v>0</v>
      </c>
      <c r="AE6" s="1">
        <f>MEDIAN($E6,$L6,$S6)</f>
        <v>0</v>
      </c>
      <c r="AF6" s="1">
        <f>MEDIAN($F6,$M6,$T6)</f>
        <v>0</v>
      </c>
      <c r="AG6" s="1">
        <f>MEDIAN($G6,$N6,$U6)</f>
        <v>0</v>
      </c>
      <c r="AH6" s="1">
        <f>MEDIAN($H6,$O6,$V6)</f>
        <v>0</v>
      </c>
      <c r="AI6" s="1">
        <f>MAX($B6,$I6,$P6)</f>
        <v>0</v>
      </c>
      <c r="AJ6" s="1">
        <f>MAX($C6,$J6,$Q6)</f>
        <v>0</v>
      </c>
      <c r="AK6" s="1">
        <f>MAX($E6,$L6,$S6)</f>
        <v>0</v>
      </c>
      <c r="AL6" s="1">
        <f>MAX($F6,$M6,$T6)</f>
        <v>0</v>
      </c>
      <c r="AM6" s="1">
        <f>MAX($G6,$N6,$U6)</f>
        <v>0</v>
      </c>
      <c r="AN6" s="1">
        <f>MAX($H6,$O6,$V6)</f>
        <v>0</v>
      </c>
    </row>
    <row r="7" spans="1:40">
      <c r="A7" s="1" t="s">
        <v>4</v>
      </c>
      <c r="B7" s="1">
        <v>42.24</v>
      </c>
      <c r="C7" s="1">
        <v>25.35</v>
      </c>
      <c r="D7" s="1" t="s">
        <v>22</v>
      </c>
      <c r="E7" s="1">
        <v>6092097</v>
      </c>
      <c r="F7" s="1">
        <v>41.066</v>
      </c>
      <c r="G7" s="1">
        <v>1.9</v>
      </c>
      <c r="H7" s="1">
        <v>0</v>
      </c>
      <c r="I7" s="1">
        <v>0.98</v>
      </c>
      <c r="J7" s="1">
        <v>0</v>
      </c>
      <c r="K7" s="1" t="s">
        <v>22</v>
      </c>
      <c r="L7" s="1">
        <v>2407</v>
      </c>
      <c r="M7" s="1">
        <v>0.102</v>
      </c>
      <c r="N7" s="1">
        <v>0</v>
      </c>
      <c r="O7" s="1">
        <v>0</v>
      </c>
      <c r="P7" s="1">
        <v>0.99</v>
      </c>
      <c r="Q7" s="1">
        <v>0</v>
      </c>
      <c r="R7" s="1" t="s">
        <v>22</v>
      </c>
      <c r="S7" s="1">
        <v>2407</v>
      </c>
      <c r="T7" s="1">
        <v>0.092</v>
      </c>
      <c r="U7" s="1">
        <v>0</v>
      </c>
      <c r="V7" s="1">
        <v>0</v>
      </c>
      <c r="W7" s="1">
        <f>MIN($B7,$I7,$P7)</f>
        <v>0</v>
      </c>
      <c r="X7" s="1">
        <f>MIN($C7,$J7,$Q7)</f>
        <v>0</v>
      </c>
      <c r="Y7" s="1">
        <f>MIN($E7,$L7,$S7)</f>
        <v>0</v>
      </c>
      <c r="Z7" s="1">
        <f>MIN($F7,$M7,$T7)</f>
        <v>0</v>
      </c>
      <c r="AA7" s="1">
        <f>MIN($G7,$N7,$U7)</f>
        <v>0</v>
      </c>
      <c r="AB7" s="1">
        <f>MIN($H7,$O7,$V7)</f>
        <v>0</v>
      </c>
      <c r="AC7" s="1">
        <f>MEDIAN($B7,$I7,$P7)</f>
        <v>0</v>
      </c>
      <c r="AD7" s="1">
        <f>MEDIAN($C7,$J7,$Q7)</f>
        <v>0</v>
      </c>
      <c r="AE7" s="1">
        <f>MEDIAN($E7,$L7,$S7)</f>
        <v>0</v>
      </c>
      <c r="AF7" s="1">
        <f>MEDIAN($F7,$M7,$T7)</f>
        <v>0</v>
      </c>
      <c r="AG7" s="1">
        <f>MEDIAN($G7,$N7,$U7)</f>
        <v>0</v>
      </c>
      <c r="AH7" s="1">
        <f>MEDIAN($H7,$O7,$V7)</f>
        <v>0</v>
      </c>
      <c r="AI7" s="1">
        <f>MAX($B7,$I7,$P7)</f>
        <v>0</v>
      </c>
      <c r="AJ7" s="1">
        <f>MAX($C7,$J7,$Q7)</f>
        <v>0</v>
      </c>
      <c r="AK7" s="1">
        <f>MAX($E7,$L7,$S7)</f>
        <v>0</v>
      </c>
      <c r="AL7" s="1">
        <f>MAX($F7,$M7,$T7)</f>
        <v>0</v>
      </c>
      <c r="AM7" s="1">
        <f>MAX($G7,$N7,$U7)</f>
        <v>0</v>
      </c>
      <c r="AN7" s="1">
        <f>MAX($H7,$O7,$V7)</f>
        <v>0</v>
      </c>
    </row>
    <row r="8" spans="1:40">
      <c r="A8" s="1" t="s">
        <v>5</v>
      </c>
      <c r="B8" s="1">
        <v>37.35</v>
      </c>
      <c r="C8" s="1">
        <v>5.26</v>
      </c>
      <c r="D8" s="1" t="s">
        <v>22</v>
      </c>
      <c r="E8" s="1">
        <v>9527537</v>
      </c>
      <c r="F8" s="1">
        <v>36.175</v>
      </c>
      <c r="G8" s="1">
        <v>3.03</v>
      </c>
      <c r="H8" s="1">
        <v>0</v>
      </c>
      <c r="I8" s="1">
        <v>0.97</v>
      </c>
      <c r="J8" s="1">
        <v>0.01</v>
      </c>
      <c r="K8" s="1" t="s">
        <v>22</v>
      </c>
      <c r="L8" s="1">
        <v>2407</v>
      </c>
      <c r="M8" s="1">
        <v>0.096</v>
      </c>
      <c r="N8" s="1">
        <v>0</v>
      </c>
      <c r="O8" s="1">
        <v>0</v>
      </c>
      <c r="P8" s="1">
        <v>0.96</v>
      </c>
      <c r="Q8" s="1">
        <v>0</v>
      </c>
      <c r="R8" s="1" t="s">
        <v>22</v>
      </c>
      <c r="S8" s="1">
        <v>2407</v>
      </c>
      <c r="T8" s="1">
        <v>0.098</v>
      </c>
      <c r="U8" s="1">
        <v>0</v>
      </c>
      <c r="V8" s="1">
        <v>0</v>
      </c>
      <c r="W8" s="1">
        <f>MIN($B8,$I8,$P8)</f>
        <v>0</v>
      </c>
      <c r="X8" s="1">
        <f>MIN($C8,$J8,$Q8)</f>
        <v>0</v>
      </c>
      <c r="Y8" s="1">
        <f>MIN($E8,$L8,$S8)</f>
        <v>0</v>
      </c>
      <c r="Z8" s="1">
        <f>MIN($F8,$M8,$T8)</f>
        <v>0</v>
      </c>
      <c r="AA8" s="1">
        <f>MIN($G8,$N8,$U8)</f>
        <v>0</v>
      </c>
      <c r="AB8" s="1">
        <f>MIN($H8,$O8,$V8)</f>
        <v>0</v>
      </c>
      <c r="AC8" s="1">
        <f>MEDIAN($B8,$I8,$P8)</f>
        <v>0</v>
      </c>
      <c r="AD8" s="1">
        <f>MEDIAN($C8,$J8,$Q8)</f>
        <v>0</v>
      </c>
      <c r="AE8" s="1">
        <f>MEDIAN($E8,$L8,$S8)</f>
        <v>0</v>
      </c>
      <c r="AF8" s="1">
        <f>MEDIAN($F8,$M8,$T8)</f>
        <v>0</v>
      </c>
      <c r="AG8" s="1">
        <f>MEDIAN($G8,$N8,$U8)</f>
        <v>0</v>
      </c>
      <c r="AH8" s="1">
        <f>MEDIAN($H8,$O8,$V8)</f>
        <v>0</v>
      </c>
      <c r="AI8" s="1">
        <f>MAX($B8,$I8,$P8)</f>
        <v>0</v>
      </c>
      <c r="AJ8" s="1">
        <f>MAX($C8,$J8,$Q8)</f>
        <v>0</v>
      </c>
      <c r="AK8" s="1">
        <f>MAX($E8,$L8,$S8)</f>
        <v>0</v>
      </c>
      <c r="AL8" s="1">
        <f>MAX($F8,$M8,$T8)</f>
        <v>0</v>
      </c>
      <c r="AM8" s="1">
        <f>MAX($G8,$N8,$U8)</f>
        <v>0</v>
      </c>
      <c r="AN8" s="1">
        <f>MAX($H8,$O8,$V8)</f>
        <v>0</v>
      </c>
    </row>
    <row r="9" spans="1:40">
      <c r="A9" s="1" t="s">
        <v>6</v>
      </c>
      <c r="B9" s="1">
        <v>96.8</v>
      </c>
      <c r="C9" s="1">
        <v>43.07</v>
      </c>
      <c r="D9" s="1" t="s">
        <v>22</v>
      </c>
      <c r="E9" s="1">
        <v>13728177</v>
      </c>
      <c r="F9" s="1">
        <v>95.458</v>
      </c>
      <c r="G9" s="1">
        <v>6.77</v>
      </c>
      <c r="H9" s="1">
        <v>0</v>
      </c>
      <c r="I9" s="1">
        <v>1.03</v>
      </c>
      <c r="J9" s="1">
        <v>0.01</v>
      </c>
      <c r="K9" s="1" t="s">
        <v>22</v>
      </c>
      <c r="L9" s="1">
        <v>2407</v>
      </c>
      <c r="M9" s="1">
        <v>0.11</v>
      </c>
      <c r="N9" s="1">
        <v>0</v>
      </c>
      <c r="O9" s="1">
        <v>0</v>
      </c>
      <c r="P9" s="1">
        <v>0.99</v>
      </c>
      <c r="Q9" s="1">
        <v>0</v>
      </c>
      <c r="R9" s="1" t="s">
        <v>22</v>
      </c>
      <c r="S9" s="1">
        <v>2407</v>
      </c>
      <c r="T9" s="1">
        <v>0.101</v>
      </c>
      <c r="U9" s="1">
        <v>0</v>
      </c>
      <c r="V9" s="1">
        <v>0</v>
      </c>
      <c r="W9" s="1">
        <f>MIN($B9,$I9,$P9)</f>
        <v>0</v>
      </c>
      <c r="X9" s="1">
        <f>MIN($C9,$J9,$Q9)</f>
        <v>0</v>
      </c>
      <c r="Y9" s="1">
        <f>MIN($E9,$L9,$S9)</f>
        <v>0</v>
      </c>
      <c r="Z9" s="1">
        <f>MIN($F9,$M9,$T9)</f>
        <v>0</v>
      </c>
      <c r="AA9" s="1">
        <f>MIN($G9,$N9,$U9)</f>
        <v>0</v>
      </c>
      <c r="AB9" s="1">
        <f>MIN($H9,$O9,$V9)</f>
        <v>0</v>
      </c>
      <c r="AC9" s="1">
        <f>MEDIAN($B9,$I9,$P9)</f>
        <v>0</v>
      </c>
      <c r="AD9" s="1">
        <f>MEDIAN($C9,$J9,$Q9)</f>
        <v>0</v>
      </c>
      <c r="AE9" s="1">
        <f>MEDIAN($E9,$L9,$S9)</f>
        <v>0</v>
      </c>
      <c r="AF9" s="1">
        <f>MEDIAN($F9,$M9,$T9)</f>
        <v>0</v>
      </c>
      <c r="AG9" s="1">
        <f>MEDIAN($G9,$N9,$U9)</f>
        <v>0</v>
      </c>
      <c r="AH9" s="1">
        <f>MEDIAN($H9,$O9,$V9)</f>
        <v>0</v>
      </c>
      <c r="AI9" s="1">
        <f>MAX($B9,$I9,$P9)</f>
        <v>0</v>
      </c>
      <c r="AJ9" s="1">
        <f>MAX($C9,$J9,$Q9)</f>
        <v>0</v>
      </c>
      <c r="AK9" s="1">
        <f>MAX($E9,$L9,$S9)</f>
        <v>0</v>
      </c>
      <c r="AL9" s="1">
        <f>MAX($F9,$M9,$T9)</f>
        <v>0</v>
      </c>
      <c r="AM9" s="1">
        <f>MAX($G9,$N9,$U9)</f>
        <v>0</v>
      </c>
      <c r="AN9" s="1">
        <f>MAX($H9,$O9,$V9)</f>
        <v>0</v>
      </c>
    </row>
    <row r="10" spans="1:40">
      <c r="A10" s="1" t="s">
        <v>7</v>
      </c>
      <c r="B10" s="1">
        <v>97.04000000000001</v>
      </c>
      <c r="C10" s="1">
        <v>17.82</v>
      </c>
      <c r="D10" s="1" t="s">
        <v>22</v>
      </c>
      <c r="E10" s="1">
        <v>18694017</v>
      </c>
      <c r="F10" s="1">
        <v>95.495</v>
      </c>
      <c r="G10" s="1">
        <v>17.32</v>
      </c>
      <c r="H10" s="1">
        <v>0</v>
      </c>
      <c r="I10" s="1">
        <v>0.98</v>
      </c>
      <c r="J10" s="1">
        <v>0.01</v>
      </c>
      <c r="K10" s="1" t="s">
        <v>22</v>
      </c>
      <c r="L10" s="1">
        <v>2407</v>
      </c>
      <c r="M10" s="1">
        <v>0.116</v>
      </c>
      <c r="N10" s="1">
        <v>0</v>
      </c>
      <c r="O10" s="1">
        <v>0</v>
      </c>
      <c r="P10" s="1">
        <v>1</v>
      </c>
      <c r="Q10" s="1">
        <v>0</v>
      </c>
      <c r="R10" s="1" t="s">
        <v>22</v>
      </c>
      <c r="S10" s="1">
        <v>2407</v>
      </c>
      <c r="T10" s="1">
        <v>0.1</v>
      </c>
      <c r="U10" s="1">
        <v>0</v>
      </c>
      <c r="V10" s="1">
        <v>0</v>
      </c>
      <c r="W10" s="1">
        <f>MIN($B10,$I10,$P10)</f>
        <v>0</v>
      </c>
      <c r="X10" s="1">
        <f>MIN($C10,$J10,$Q10)</f>
        <v>0</v>
      </c>
      <c r="Y10" s="1">
        <f>MIN($E10,$L10,$S10)</f>
        <v>0</v>
      </c>
      <c r="Z10" s="1">
        <f>MIN($F10,$M10,$T10)</f>
        <v>0</v>
      </c>
      <c r="AA10" s="1">
        <f>MIN($G10,$N10,$U10)</f>
        <v>0</v>
      </c>
      <c r="AB10" s="1">
        <f>MIN($H10,$O10,$V10)</f>
        <v>0</v>
      </c>
      <c r="AC10" s="1">
        <f>MEDIAN($B10,$I10,$P10)</f>
        <v>0</v>
      </c>
      <c r="AD10" s="1">
        <f>MEDIAN($C10,$J10,$Q10)</f>
        <v>0</v>
      </c>
      <c r="AE10" s="1">
        <f>MEDIAN($E10,$L10,$S10)</f>
        <v>0</v>
      </c>
      <c r="AF10" s="1">
        <f>MEDIAN($F10,$M10,$T10)</f>
        <v>0</v>
      </c>
      <c r="AG10" s="1">
        <f>MEDIAN($G10,$N10,$U10)</f>
        <v>0</v>
      </c>
      <c r="AH10" s="1">
        <f>MEDIAN($H10,$O10,$V10)</f>
        <v>0</v>
      </c>
      <c r="AI10" s="1">
        <f>MAX($B10,$I10,$P10)</f>
        <v>0</v>
      </c>
      <c r="AJ10" s="1">
        <f>MAX($C10,$J10,$Q10)</f>
        <v>0</v>
      </c>
      <c r="AK10" s="1">
        <f>MAX($E10,$L10,$S10)</f>
        <v>0</v>
      </c>
      <c r="AL10" s="1">
        <f>MAX($F10,$M10,$T10)</f>
        <v>0</v>
      </c>
      <c r="AM10" s="1">
        <f>MAX($G10,$N10,$U10)</f>
        <v>0</v>
      </c>
      <c r="AN10" s="1">
        <f>MAX($H10,$O10,$V10)</f>
        <v>0</v>
      </c>
    </row>
    <row r="11" spans="1:40">
      <c r="A11" s="1" t="s">
        <v>8</v>
      </c>
      <c r="B11" s="1">
        <v>294.66</v>
      </c>
      <c r="C11" s="1">
        <v>165.22</v>
      </c>
      <c r="D11" s="1" t="s">
        <v>22</v>
      </c>
      <c r="E11" s="1">
        <v>24425057</v>
      </c>
      <c r="F11" s="1">
        <v>292.427</v>
      </c>
      <c r="G11" s="1">
        <v>18.1</v>
      </c>
      <c r="H11" s="1">
        <v>0</v>
      </c>
      <c r="I11" s="1">
        <v>1.03</v>
      </c>
      <c r="J11" s="1">
        <v>0.01</v>
      </c>
      <c r="K11" s="1" t="s">
        <v>22</v>
      </c>
      <c r="L11" s="1">
        <v>2407</v>
      </c>
      <c r="M11" s="1">
        <v>0.124</v>
      </c>
      <c r="N11" s="1">
        <v>0</v>
      </c>
      <c r="O11" s="1">
        <v>0</v>
      </c>
      <c r="P11" s="1">
        <v>1.01</v>
      </c>
      <c r="Q11" s="1">
        <v>0</v>
      </c>
      <c r="R11" s="1" t="s">
        <v>22</v>
      </c>
      <c r="S11" s="1">
        <v>2407</v>
      </c>
      <c r="T11" s="1">
        <v>0.095</v>
      </c>
      <c r="U11" s="1">
        <v>0</v>
      </c>
      <c r="V11" s="1">
        <v>0</v>
      </c>
      <c r="W11" s="1">
        <f>MIN($B11,$I11,$P11)</f>
        <v>0</v>
      </c>
      <c r="X11" s="1">
        <f>MIN($C11,$J11,$Q11)</f>
        <v>0</v>
      </c>
      <c r="Y11" s="1">
        <f>MIN($E11,$L11,$S11)</f>
        <v>0</v>
      </c>
      <c r="Z11" s="1">
        <f>MIN($F11,$M11,$T11)</f>
        <v>0</v>
      </c>
      <c r="AA11" s="1">
        <f>MIN($G11,$N11,$U11)</f>
        <v>0</v>
      </c>
      <c r="AB11" s="1">
        <f>MIN($H11,$O11,$V11)</f>
        <v>0</v>
      </c>
      <c r="AC11" s="1">
        <f>MEDIAN($B11,$I11,$P11)</f>
        <v>0</v>
      </c>
      <c r="AD11" s="1">
        <f>MEDIAN($C11,$J11,$Q11)</f>
        <v>0</v>
      </c>
      <c r="AE11" s="1">
        <f>MEDIAN($E11,$L11,$S11)</f>
        <v>0</v>
      </c>
      <c r="AF11" s="1">
        <f>MEDIAN($F11,$M11,$T11)</f>
        <v>0</v>
      </c>
      <c r="AG11" s="1">
        <f>MEDIAN($G11,$N11,$U11)</f>
        <v>0</v>
      </c>
      <c r="AH11" s="1">
        <f>MEDIAN($H11,$O11,$V11)</f>
        <v>0</v>
      </c>
      <c r="AI11" s="1">
        <f>MAX($B11,$I11,$P11)</f>
        <v>0</v>
      </c>
      <c r="AJ11" s="1">
        <f>MAX($C11,$J11,$Q11)</f>
        <v>0</v>
      </c>
      <c r="AK11" s="1">
        <f>MAX($E11,$L11,$S11)</f>
        <v>0</v>
      </c>
      <c r="AL11" s="1">
        <f>MAX($F11,$M11,$T11)</f>
        <v>0</v>
      </c>
      <c r="AM11" s="1">
        <f>MAX($G11,$N11,$U11)</f>
        <v>0</v>
      </c>
      <c r="AN11" s="1">
        <f>MAX($H11,$O11,$V11)</f>
        <v>0</v>
      </c>
    </row>
    <row r="12" spans="1:40">
      <c r="A12" s="1" t="s">
        <v>9</v>
      </c>
      <c r="B12" s="1">
        <v>349.51</v>
      </c>
      <c r="C12" s="1">
        <v>187.98</v>
      </c>
      <c r="D12" s="1" t="s">
        <v>22</v>
      </c>
      <c r="E12" s="1">
        <v>30921297</v>
      </c>
      <c r="F12" s="1">
        <v>347.342</v>
      </c>
      <c r="G12" s="1">
        <v>33.92</v>
      </c>
      <c r="H12" s="1">
        <v>0</v>
      </c>
      <c r="I12" s="1">
        <v>1.02</v>
      </c>
      <c r="J12" s="1">
        <v>0.01</v>
      </c>
      <c r="K12" s="1" t="s">
        <v>22</v>
      </c>
      <c r="L12" s="1">
        <v>2407</v>
      </c>
      <c r="M12" s="1">
        <v>0.119</v>
      </c>
      <c r="N12" s="1">
        <v>0</v>
      </c>
      <c r="O12" s="1">
        <v>0</v>
      </c>
      <c r="P12" s="1">
        <v>1.01</v>
      </c>
      <c r="Q12" s="1">
        <v>0</v>
      </c>
      <c r="R12" s="1" t="s">
        <v>22</v>
      </c>
      <c r="S12" s="1">
        <v>2407</v>
      </c>
      <c r="T12" s="1">
        <v>0.097</v>
      </c>
      <c r="U12" s="1">
        <v>0</v>
      </c>
      <c r="V12" s="1">
        <v>0</v>
      </c>
      <c r="W12" s="1">
        <f>MIN($B12,$I12,$P12)</f>
        <v>0</v>
      </c>
      <c r="X12" s="1">
        <f>MIN($C12,$J12,$Q12)</f>
        <v>0</v>
      </c>
      <c r="Y12" s="1">
        <f>MIN($E12,$L12,$S12)</f>
        <v>0</v>
      </c>
      <c r="Z12" s="1">
        <f>MIN($F12,$M12,$T12)</f>
        <v>0</v>
      </c>
      <c r="AA12" s="1">
        <f>MIN($G12,$N12,$U12)</f>
        <v>0</v>
      </c>
      <c r="AB12" s="1">
        <f>MIN($H12,$O12,$V12)</f>
        <v>0</v>
      </c>
      <c r="AC12" s="1">
        <f>MEDIAN($B12,$I12,$P12)</f>
        <v>0</v>
      </c>
      <c r="AD12" s="1">
        <f>MEDIAN($C12,$J12,$Q12)</f>
        <v>0</v>
      </c>
      <c r="AE12" s="1">
        <f>MEDIAN($E12,$L12,$S12)</f>
        <v>0</v>
      </c>
      <c r="AF12" s="1">
        <f>MEDIAN($F12,$M12,$T12)</f>
        <v>0</v>
      </c>
      <c r="AG12" s="1">
        <f>MEDIAN($G12,$N12,$U12)</f>
        <v>0</v>
      </c>
      <c r="AH12" s="1">
        <f>MEDIAN($H12,$O12,$V12)</f>
        <v>0</v>
      </c>
      <c r="AI12" s="1">
        <f>MAX($B12,$I12,$P12)</f>
        <v>0</v>
      </c>
      <c r="AJ12" s="1">
        <f>MAX($C12,$J12,$Q12)</f>
        <v>0</v>
      </c>
      <c r="AK12" s="1">
        <f>MAX($E12,$L12,$S12)</f>
        <v>0</v>
      </c>
      <c r="AL12" s="1">
        <f>MAX($F12,$M12,$T12)</f>
        <v>0</v>
      </c>
      <c r="AM12" s="1">
        <f>MAX($G12,$N12,$U12)</f>
        <v>0</v>
      </c>
      <c r="AN12" s="1">
        <f>MAX($H12,$O12,$V12)</f>
        <v>0</v>
      </c>
    </row>
    <row r="13" spans="1:40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>
      <c r="A14" s="1" t="s">
        <v>10</v>
      </c>
      <c r="B14" s="1">
        <f>SUM(B$3:B$12)</f>
        <v>0</v>
      </c>
      <c r="C14" s="1">
        <f>SUM(C$3:C$12)</f>
        <v>0</v>
      </c>
      <c r="D14" s="1"/>
      <c r="E14" s="1">
        <f>SUM(E$3:E$12)</f>
        <v>0</v>
      </c>
      <c r="F14" s="1">
        <f>SUM(F$3:F$12)</f>
        <v>0</v>
      </c>
      <c r="G14" s="1">
        <f>SUM(G$3:G$12)</f>
        <v>0</v>
      </c>
      <c r="H14" s="1">
        <f>SUM(H$3:H$12)</f>
        <v>0</v>
      </c>
      <c r="I14" s="1">
        <f>SUM(I$3:I$12)</f>
        <v>0</v>
      </c>
      <c r="J14" s="1">
        <f>SUM(J$3:J$12)</f>
        <v>0</v>
      </c>
      <c r="K14" s="1"/>
      <c r="L14" s="1">
        <f>SUM(L$3:L$12)</f>
        <v>0</v>
      </c>
      <c r="M14" s="1">
        <f>SUM(M$3:M$12)</f>
        <v>0</v>
      </c>
      <c r="N14" s="1">
        <f>SUM(N$3:N$12)</f>
        <v>0</v>
      </c>
      <c r="O14" s="1">
        <f>SUM(O$3:O$12)</f>
        <v>0</v>
      </c>
      <c r="P14" s="1">
        <f>SUM(P$3:P$12)</f>
        <v>0</v>
      </c>
      <c r="Q14" s="1">
        <f>SUM(Q$3:Q$12)</f>
        <v>0</v>
      </c>
      <c r="R14" s="1"/>
      <c r="S14" s="1">
        <f>SUM(S$3:S$12)</f>
        <v>0</v>
      </c>
      <c r="T14" s="1">
        <f>SUM(T$3:T$12)</f>
        <v>0</v>
      </c>
      <c r="U14" s="1">
        <f>SUM(U$3:U$12)</f>
        <v>0</v>
      </c>
      <c r="V14" s="1">
        <f>SUM(V$3:V$12)</f>
        <v>0</v>
      </c>
      <c r="W14" s="1">
        <f>SUM(W$3:W$12)</f>
        <v>0</v>
      </c>
      <c r="X14" s="1">
        <f>SUM(X$3:X$12)</f>
        <v>0</v>
      </c>
      <c r="Y14" s="1">
        <f>SUM(Y$3:Y$12)</f>
        <v>0</v>
      </c>
      <c r="Z14" s="1">
        <f>SUM(Z$3:Z$12)</f>
        <v>0</v>
      </c>
      <c r="AA14" s="1">
        <f>SUM(AA$3:AA$12)</f>
        <v>0</v>
      </c>
      <c r="AB14" s="1">
        <f>SUM(AB$3:AB$12)</f>
        <v>0</v>
      </c>
      <c r="AC14" s="1">
        <f>SUM(AC$3:AC$12)</f>
        <v>0</v>
      </c>
      <c r="AD14" s="1">
        <f>SUM(AD$3:AD$12)</f>
        <v>0</v>
      </c>
      <c r="AE14" s="1">
        <f>SUM(AE$3:AE$12)</f>
        <v>0</v>
      </c>
      <c r="AF14" s="1">
        <f>SUM(AF$3:AF$12)</f>
        <v>0</v>
      </c>
      <c r="AG14" s="1">
        <f>SUM(AG$3:AG$12)</f>
        <v>0</v>
      </c>
      <c r="AH14" s="1">
        <f>SUM(AH$3:AH$12)</f>
        <v>0</v>
      </c>
      <c r="AI14" s="1">
        <f>SUM(AI$3:AI$12)</f>
        <v>0</v>
      </c>
      <c r="AJ14" s="1">
        <f>SUM(AJ$3:AJ$12)</f>
        <v>0</v>
      </c>
      <c r="AK14" s="1">
        <f>SUM(AK$3:AK$12)</f>
        <v>0</v>
      </c>
      <c r="AL14" s="1">
        <f>SUM(AL$3:AL$12)</f>
        <v>0</v>
      </c>
      <c r="AM14" s="1">
        <f>SUM(AM$3:AM$12)</f>
        <v>0</v>
      </c>
      <c r="AN14" s="1">
        <f>SUM(AN$3:AN$12)</f>
        <v>0</v>
      </c>
    </row>
    <row r="15" spans="1:40">
      <c r="A15" s="1" t="s">
        <v>11</v>
      </c>
      <c r="B15" s="1">
        <f>AVERAGE(B$3:B$12)</f>
        <v>0</v>
      </c>
      <c r="C15" s="1">
        <f>AVERAGE(C$3:C$12)</f>
        <v>0</v>
      </c>
      <c r="D15" s="1"/>
      <c r="E15" s="1">
        <f>AVERAGE(E$3:E$12)</f>
        <v>0</v>
      </c>
      <c r="F15" s="1">
        <f>AVERAGE(F$3:F$12)</f>
        <v>0</v>
      </c>
      <c r="G15" s="1">
        <f>AVERAGE(G$3:G$12)</f>
        <v>0</v>
      </c>
      <c r="H15" s="1">
        <f>AVERAGE(H$3:H$12)</f>
        <v>0</v>
      </c>
      <c r="I15" s="1">
        <f>AVERAGE(I$3:I$12)</f>
        <v>0</v>
      </c>
      <c r="J15" s="1">
        <f>AVERAGE(J$3:J$12)</f>
        <v>0</v>
      </c>
      <c r="K15" s="1"/>
      <c r="L15" s="1">
        <f>AVERAGE(L$3:L$12)</f>
        <v>0</v>
      </c>
      <c r="M15" s="1">
        <f>AVERAGE(M$3:M$12)</f>
        <v>0</v>
      </c>
      <c r="N15" s="1">
        <f>AVERAGE(N$3:N$12)</f>
        <v>0</v>
      </c>
      <c r="O15" s="1">
        <f>AVERAGE(O$3:O$12)</f>
        <v>0</v>
      </c>
      <c r="P15" s="1">
        <f>AVERAGE(P$3:P$12)</f>
        <v>0</v>
      </c>
      <c r="Q15" s="1">
        <f>AVERAGE(Q$3:Q$12)</f>
        <v>0</v>
      </c>
      <c r="R15" s="1"/>
      <c r="S15" s="1">
        <f>AVERAGE(S$3:S$12)</f>
        <v>0</v>
      </c>
      <c r="T15" s="1">
        <f>AVERAGE(T$3:T$12)</f>
        <v>0</v>
      </c>
      <c r="U15" s="1">
        <f>AVERAGE(U$3:U$12)</f>
        <v>0</v>
      </c>
      <c r="V15" s="1">
        <f>AVERAGE(V$3:V$12)</f>
        <v>0</v>
      </c>
      <c r="W15" s="1">
        <f>AVERAGE(W$3:W$12)</f>
        <v>0</v>
      </c>
      <c r="X15" s="1">
        <f>AVERAGE(X$3:X$12)</f>
        <v>0</v>
      </c>
      <c r="Y15" s="1">
        <f>AVERAGE(Y$3:Y$12)</f>
        <v>0</v>
      </c>
      <c r="Z15" s="1">
        <f>AVERAGE(Z$3:Z$12)</f>
        <v>0</v>
      </c>
      <c r="AA15" s="1">
        <f>AVERAGE(AA$3:AA$12)</f>
        <v>0</v>
      </c>
      <c r="AB15" s="1">
        <f>AVERAGE(AB$3:AB$12)</f>
        <v>0</v>
      </c>
      <c r="AC15" s="1">
        <f>AVERAGE(AC$3:AC$12)</f>
        <v>0</v>
      </c>
      <c r="AD15" s="1">
        <f>AVERAGE(AD$3:AD$12)</f>
        <v>0</v>
      </c>
      <c r="AE15" s="1">
        <f>AVERAGE(AE$3:AE$12)</f>
        <v>0</v>
      </c>
      <c r="AF15" s="1">
        <f>AVERAGE(AF$3:AF$12)</f>
        <v>0</v>
      </c>
      <c r="AG15" s="1">
        <f>AVERAGE(AG$3:AG$12)</f>
        <v>0</v>
      </c>
      <c r="AH15" s="1">
        <f>AVERAGE(AH$3:AH$12)</f>
        <v>0</v>
      </c>
      <c r="AI15" s="1">
        <f>AVERAGE(AI$3:AI$12)</f>
        <v>0</v>
      </c>
      <c r="AJ15" s="1">
        <f>AVERAGE(AJ$3:AJ$12)</f>
        <v>0</v>
      </c>
      <c r="AK15" s="1">
        <f>AVERAGE(AK$3:AK$12)</f>
        <v>0</v>
      </c>
      <c r="AL15" s="1">
        <f>AVERAGE(AL$3:AL$12)</f>
        <v>0</v>
      </c>
      <c r="AM15" s="1">
        <f>AVERAGE(AM$3:AM$12)</f>
        <v>0</v>
      </c>
      <c r="AN15" s="1">
        <f>AVERAGE(AN$3:AN$12)</f>
        <v>0</v>
      </c>
    </row>
    <row r="16" spans="1:40">
      <c r="A16" s="1" t="s">
        <v>12</v>
      </c>
      <c r="B16" s="1">
        <f>STDEV(B$3:B$12)</f>
        <v>0</v>
      </c>
      <c r="C16" s="1">
        <f>STDEV(C$3:C$12)</f>
        <v>0</v>
      </c>
      <c r="D16" s="1"/>
      <c r="E16" s="1">
        <f>STDEV(E$3:E$12)</f>
        <v>0</v>
      </c>
      <c r="F16" s="1">
        <f>STDEV(F$3:F$12)</f>
        <v>0</v>
      </c>
      <c r="G16" s="1">
        <f>STDEV(G$3:G$12)</f>
        <v>0</v>
      </c>
      <c r="H16" s="1">
        <f>STDEV(H$3:H$12)</f>
        <v>0</v>
      </c>
      <c r="I16" s="1">
        <f>STDEV(I$3:I$12)</f>
        <v>0</v>
      </c>
      <c r="J16" s="1">
        <f>STDEV(J$3:J$12)</f>
        <v>0</v>
      </c>
      <c r="K16" s="1"/>
      <c r="L16" s="1">
        <f>STDEV(L$3:L$12)</f>
        <v>0</v>
      </c>
      <c r="M16" s="1">
        <f>STDEV(M$3:M$12)</f>
        <v>0</v>
      </c>
      <c r="N16" s="1">
        <f>STDEV(N$3:N$12)</f>
        <v>0</v>
      </c>
      <c r="O16" s="1">
        <f>STDEV(O$3:O$12)</f>
        <v>0</v>
      </c>
      <c r="P16" s="1">
        <f>STDEV(P$3:P$12)</f>
        <v>0</v>
      </c>
      <c r="Q16" s="1">
        <f>STDEV(Q$3:Q$12)</f>
        <v>0</v>
      </c>
      <c r="R16" s="1"/>
      <c r="S16" s="1">
        <f>STDEV(S$3:S$12)</f>
        <v>0</v>
      </c>
      <c r="T16" s="1">
        <f>STDEV(T$3:T$12)</f>
        <v>0</v>
      </c>
      <c r="U16" s="1">
        <f>STDEV(U$3:U$12)</f>
        <v>0</v>
      </c>
      <c r="V16" s="1">
        <f>STDEV(V$3:V$12)</f>
        <v>0</v>
      </c>
      <c r="W16" s="1">
        <f>STDEV(W$3:W$12)</f>
        <v>0</v>
      </c>
      <c r="X16" s="1">
        <f>STDEV(X$3:X$12)</f>
        <v>0</v>
      </c>
      <c r="Y16" s="1">
        <f>STDEV(Y$3:Y$12)</f>
        <v>0</v>
      </c>
      <c r="Z16" s="1">
        <f>STDEV(Z$3:Z$12)</f>
        <v>0</v>
      </c>
      <c r="AA16" s="1">
        <f>STDEV(AA$3:AA$12)</f>
        <v>0</v>
      </c>
      <c r="AB16" s="1">
        <f>STDEV(AB$3:AB$12)</f>
        <v>0</v>
      </c>
      <c r="AC16" s="1">
        <f>STDEV(AC$3:AC$12)</f>
        <v>0</v>
      </c>
      <c r="AD16" s="1">
        <f>STDEV(AD$3:AD$12)</f>
        <v>0</v>
      </c>
      <c r="AE16" s="1">
        <f>STDEV(AE$3:AE$12)</f>
        <v>0</v>
      </c>
      <c r="AF16" s="1">
        <f>STDEV(AF$3:AF$12)</f>
        <v>0</v>
      </c>
      <c r="AG16" s="1">
        <f>STDEV(AG$3:AG$12)</f>
        <v>0</v>
      </c>
      <c r="AH16" s="1">
        <f>STDEV(AH$3:AH$12)</f>
        <v>0</v>
      </c>
      <c r="AI16" s="1">
        <f>STDEV(AI$3:AI$12)</f>
        <v>0</v>
      </c>
      <c r="AJ16" s="1">
        <f>STDEV(AJ$3:AJ$12)</f>
        <v>0</v>
      </c>
      <c r="AK16" s="1">
        <f>STDEV(AK$3:AK$12)</f>
        <v>0</v>
      </c>
      <c r="AL16" s="1">
        <f>STDEV(AL$3:AL$12)</f>
        <v>0</v>
      </c>
      <c r="AM16" s="1">
        <f>STDEV(AM$3:AM$12)</f>
        <v>0</v>
      </c>
      <c r="AN16" s="1">
        <f>STDEV(AN$3:AN$12)</f>
        <v>0</v>
      </c>
    </row>
    <row r="17" spans="1:40">
      <c r="A17" s="1" t="s">
        <v>13</v>
      </c>
      <c r="B17" s="1">
        <f>SUMPRODUCT(--(B$3:B$12-$W$3:$W$12)^2)^0.5</f>
        <v>0</v>
      </c>
      <c r="C17" s="1">
        <f>SUMPRODUCT(--(C$3:C$12-$X$3:$X$12)^2)^0.5</f>
        <v>0</v>
      </c>
      <c r="D17" s="1"/>
      <c r="E17" s="1">
        <f>SUMPRODUCT(--(E$3:E$12-$Y$3:$Y$12)^2)^0.5</f>
        <v>0</v>
      </c>
      <c r="F17" s="1">
        <f>SUMPRODUCT(--(F$3:F$12-$Z$3:$Z$12)^2)^0.5</f>
        <v>0</v>
      </c>
      <c r="G17" s="1">
        <f>SUMPRODUCT(--(G$3:G$12-$AA$3:$AA$12)^2)^0.5</f>
        <v>0</v>
      </c>
      <c r="H17" s="1">
        <f>SUMPRODUCT(--(H$3:H$12-$AB$3:$AB$12)^2)^0.5</f>
        <v>0</v>
      </c>
      <c r="I17" s="1">
        <f>SUMPRODUCT(--(I$3:I$12-$W$3:$W$12)^2)^0.5</f>
        <v>0</v>
      </c>
      <c r="J17" s="1">
        <f>SUMPRODUCT(--(J$3:J$12-$X$3:$X$12)^2)^0.5</f>
        <v>0</v>
      </c>
      <c r="K17" s="1"/>
      <c r="L17" s="1">
        <f>SUMPRODUCT(--(L$3:L$12-$Y$3:$Y$12)^2)^0.5</f>
        <v>0</v>
      </c>
      <c r="M17" s="1">
        <f>SUMPRODUCT(--(M$3:M$12-$Z$3:$Z$12)^2)^0.5</f>
        <v>0</v>
      </c>
      <c r="N17" s="1">
        <f>SUMPRODUCT(--(N$3:N$12-$AA$3:$AA$12)^2)^0.5</f>
        <v>0</v>
      </c>
      <c r="O17" s="1">
        <f>SUMPRODUCT(--(O$3:O$12-$AB$3:$AB$12)^2)^0.5</f>
        <v>0</v>
      </c>
      <c r="P17" s="1">
        <f>SUMPRODUCT(--(P$3:P$12-$W$3:$W$12)^2)^0.5</f>
        <v>0</v>
      </c>
      <c r="Q17" s="1">
        <f>SUMPRODUCT(--(Q$3:Q$12-$X$3:$X$12)^2)^0.5</f>
        <v>0</v>
      </c>
      <c r="R17" s="1"/>
      <c r="S17" s="1">
        <f>SUMPRODUCT(--(S$3:S$12-$Y$3:$Y$12)^2)^0.5</f>
        <v>0</v>
      </c>
      <c r="T17" s="1">
        <f>SUMPRODUCT(--(T$3:T$12-$Z$3:$Z$12)^2)^0.5</f>
        <v>0</v>
      </c>
      <c r="U17" s="1">
        <f>SUMPRODUCT(--(U$3:U$12-$AA$3:$AA$12)^2)^0.5</f>
        <v>0</v>
      </c>
      <c r="V17" s="1">
        <f>SUMPRODUCT(--(V$3:V$12-$AB$3:$AB$12)^2)^0.5</f>
        <v>0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>
      <c r="A18" s="1" t="s">
        <v>14</v>
      </c>
      <c r="B18" s="1">
        <f>SUMPRODUCT(NOT(ISBLANK(B$3:B$12))*(B$3:B$12=$W$3:$W$12))</f>
        <v>0</v>
      </c>
      <c r="C18" s="1">
        <f>SUMPRODUCT(NOT(ISBLANK(C$3:C$12))*(C$3:C$12=$X$3:$X$12))</f>
        <v>0</v>
      </c>
      <c r="D18" s="1"/>
      <c r="E18" s="1">
        <f>SUMPRODUCT(NOT(ISBLANK(E$3:E$12))*(E$3:E$12=$Y$3:$Y$12))</f>
        <v>0</v>
      </c>
      <c r="F18" s="1">
        <f>SUMPRODUCT(NOT(ISBLANK(F$3:F$12))*(F$3:F$12=$Z$3:$Z$12))</f>
        <v>0</v>
      </c>
      <c r="G18" s="1">
        <f>SUMPRODUCT(NOT(ISBLANK(G$3:G$12))*(G$3:G$12=$AA$3:$AA$12))</f>
        <v>0</v>
      </c>
      <c r="H18" s="1">
        <f>SUMPRODUCT(NOT(ISBLANK(H$3:H$12))*(H$3:H$12=$AB$3:$AB$12))</f>
        <v>0</v>
      </c>
      <c r="I18" s="1">
        <f>SUMPRODUCT(NOT(ISBLANK(I$3:I$12))*(I$3:I$12=$W$3:$W$12))</f>
        <v>0</v>
      </c>
      <c r="J18" s="1">
        <f>SUMPRODUCT(NOT(ISBLANK(J$3:J$12))*(J$3:J$12=$X$3:$X$12))</f>
        <v>0</v>
      </c>
      <c r="K18" s="1"/>
      <c r="L18" s="1">
        <f>SUMPRODUCT(NOT(ISBLANK(L$3:L$12))*(L$3:L$12=$Y$3:$Y$12))</f>
        <v>0</v>
      </c>
      <c r="M18" s="1">
        <f>SUMPRODUCT(NOT(ISBLANK(M$3:M$12))*(M$3:M$12=$Z$3:$Z$12))</f>
        <v>0</v>
      </c>
      <c r="N18" s="1">
        <f>SUMPRODUCT(NOT(ISBLANK(N$3:N$12))*(N$3:N$12=$AA$3:$AA$12))</f>
        <v>0</v>
      </c>
      <c r="O18" s="1">
        <f>SUMPRODUCT(NOT(ISBLANK(O$3:O$12))*(O$3:O$12=$AB$3:$AB$12))</f>
        <v>0</v>
      </c>
      <c r="P18" s="1">
        <f>SUMPRODUCT(NOT(ISBLANK(P$3:P$12))*(P$3:P$12=$W$3:$W$12))</f>
        <v>0</v>
      </c>
      <c r="Q18" s="1">
        <f>SUMPRODUCT(NOT(ISBLANK(Q$3:Q$12))*(Q$3:Q$12=$X$3:$X$12))</f>
        <v>0</v>
      </c>
      <c r="R18" s="1"/>
      <c r="S18" s="1">
        <f>SUMPRODUCT(NOT(ISBLANK(S$3:S$12))*(S$3:S$12=$Y$3:$Y$12))</f>
        <v>0</v>
      </c>
      <c r="T18" s="1">
        <f>SUMPRODUCT(NOT(ISBLANK(T$3:T$12))*(T$3:T$12=$Z$3:$Z$12))</f>
        <v>0</v>
      </c>
      <c r="U18" s="1">
        <f>SUMPRODUCT(NOT(ISBLANK(U$3:U$12))*(U$3:U$12=$AA$3:$AA$12))</f>
        <v>0</v>
      </c>
      <c r="V18" s="1">
        <f>SUMPRODUCT(NOT(ISBLANK(V$3:V$12))*(V$3:V$12=$AB$3:$AB$12))</f>
        <v>0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>
      <c r="A19" s="1" t="s">
        <v>15</v>
      </c>
      <c r="B19" s="1">
        <f>SUMPRODUCT(NOT(ISBLANK(B$3:B$12))*(B$3:B$12&lt;$AC$3:$AC$12))</f>
        <v>0</v>
      </c>
      <c r="C19" s="1">
        <f>SUMPRODUCT(NOT(ISBLANK(C$3:C$12))*(C$3:C$12&lt;$AD$3:$AD$12))</f>
        <v>0</v>
      </c>
      <c r="D19" s="1"/>
      <c r="E19" s="1">
        <f>SUMPRODUCT(NOT(ISBLANK(E$3:E$12))*(E$3:E$12&lt;$AE$3:$AE$12))</f>
        <v>0</v>
      </c>
      <c r="F19" s="1">
        <f>SUMPRODUCT(NOT(ISBLANK(F$3:F$12))*(F$3:F$12&lt;$AF$3:$AF$12))</f>
        <v>0</v>
      </c>
      <c r="G19" s="1">
        <f>SUMPRODUCT(NOT(ISBLANK(G$3:G$12))*(G$3:G$12&lt;$AG$3:$AG$12))</f>
        <v>0</v>
      </c>
      <c r="H19" s="1">
        <f>SUMPRODUCT(NOT(ISBLANK(H$3:H$12))*(H$3:H$12&lt;$AH$3:$AH$12))</f>
        <v>0</v>
      </c>
      <c r="I19" s="1">
        <f>SUMPRODUCT(NOT(ISBLANK(I$3:I$12))*(I$3:I$12&lt;$AC$3:$AC$12))</f>
        <v>0</v>
      </c>
      <c r="J19" s="1">
        <f>SUMPRODUCT(NOT(ISBLANK(J$3:J$12))*(J$3:J$12&lt;$AD$3:$AD$12))</f>
        <v>0</v>
      </c>
      <c r="K19" s="1"/>
      <c r="L19" s="1">
        <f>SUMPRODUCT(NOT(ISBLANK(L$3:L$12))*(L$3:L$12&lt;$AE$3:$AE$12))</f>
        <v>0</v>
      </c>
      <c r="M19" s="1">
        <f>SUMPRODUCT(NOT(ISBLANK(M$3:M$12))*(M$3:M$12&lt;$AF$3:$AF$12))</f>
        <v>0</v>
      </c>
      <c r="N19" s="1">
        <f>SUMPRODUCT(NOT(ISBLANK(N$3:N$12))*(N$3:N$12&lt;$AG$3:$AG$12))</f>
        <v>0</v>
      </c>
      <c r="O19" s="1">
        <f>SUMPRODUCT(NOT(ISBLANK(O$3:O$12))*(O$3:O$12&lt;$AH$3:$AH$12))</f>
        <v>0</v>
      </c>
      <c r="P19" s="1">
        <f>SUMPRODUCT(NOT(ISBLANK(P$3:P$12))*(P$3:P$12&lt;$AC$3:$AC$12))</f>
        <v>0</v>
      </c>
      <c r="Q19" s="1">
        <f>SUMPRODUCT(NOT(ISBLANK(Q$3:Q$12))*(Q$3:Q$12&lt;$AD$3:$AD$12))</f>
        <v>0</v>
      </c>
      <c r="R19" s="1"/>
      <c r="S19" s="1">
        <f>SUMPRODUCT(NOT(ISBLANK(S$3:S$12))*(S$3:S$12&lt;$AE$3:$AE$12))</f>
        <v>0</v>
      </c>
      <c r="T19" s="1">
        <f>SUMPRODUCT(NOT(ISBLANK(T$3:T$12))*(T$3:T$12&lt;$AF$3:$AF$12))</f>
        <v>0</v>
      </c>
      <c r="U19" s="1">
        <f>SUMPRODUCT(NOT(ISBLANK(U$3:U$12))*(U$3:U$12&lt;$AG$3:$AG$12))</f>
        <v>0</v>
      </c>
      <c r="V19" s="1">
        <f>SUMPRODUCT(NOT(ISBLANK(V$3:V$12))*(V$3:V$12&lt;$AH$3:$AH$12))</f>
        <v>0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>
      <c r="A20" s="1" t="s">
        <v>16</v>
      </c>
      <c r="B20" s="1">
        <f>SUMPRODUCT((NOT(ISBLANK(B$3:B$12))*(B$3:B$12&gt;$AC$3:$AC$12))+ISBLANK(B$3:B$12))</f>
        <v>0</v>
      </c>
      <c r="C20" s="1">
        <f>SUMPRODUCT((NOT(ISBLANK(C$3:C$12))*(C$3:C$12&gt;$AD$3:$AD$12))+ISBLANK(C$3:C$12))</f>
        <v>0</v>
      </c>
      <c r="D20" s="1"/>
      <c r="E20" s="1">
        <f>SUMPRODUCT((NOT(ISBLANK(E$3:E$12))*(E$3:E$12&gt;$AE$3:$AE$12))+ISBLANK(E$3:E$12))</f>
        <v>0</v>
      </c>
      <c r="F20" s="1">
        <f>SUMPRODUCT((NOT(ISBLANK(F$3:F$12))*(F$3:F$12&gt;$AF$3:$AF$12))+ISBLANK(F$3:F$12))</f>
        <v>0</v>
      </c>
      <c r="G20" s="1">
        <f>SUMPRODUCT((NOT(ISBLANK(G$3:G$12))*(G$3:G$12&gt;$AG$3:$AG$12))+ISBLANK(G$3:G$12))</f>
        <v>0</v>
      </c>
      <c r="H20" s="1">
        <f>SUMPRODUCT((NOT(ISBLANK(H$3:H$12))*(H$3:H$12&gt;$AH$3:$AH$12))+ISBLANK(H$3:H$12))</f>
        <v>0</v>
      </c>
      <c r="I20" s="1">
        <f>SUMPRODUCT((NOT(ISBLANK(I$3:I$12))*(I$3:I$12&gt;$AC$3:$AC$12))+ISBLANK(I$3:I$12))</f>
        <v>0</v>
      </c>
      <c r="J20" s="1">
        <f>SUMPRODUCT((NOT(ISBLANK(J$3:J$12))*(J$3:J$12&gt;$AD$3:$AD$12))+ISBLANK(J$3:J$12))</f>
        <v>0</v>
      </c>
      <c r="K20" s="1"/>
      <c r="L20" s="1">
        <f>SUMPRODUCT((NOT(ISBLANK(L$3:L$12))*(L$3:L$12&gt;$AE$3:$AE$12))+ISBLANK(L$3:L$12))</f>
        <v>0</v>
      </c>
      <c r="M20" s="1">
        <f>SUMPRODUCT((NOT(ISBLANK(M$3:M$12))*(M$3:M$12&gt;$AF$3:$AF$12))+ISBLANK(M$3:M$12))</f>
        <v>0</v>
      </c>
      <c r="N20" s="1">
        <f>SUMPRODUCT((NOT(ISBLANK(N$3:N$12))*(N$3:N$12&gt;$AG$3:$AG$12))+ISBLANK(N$3:N$12))</f>
        <v>0</v>
      </c>
      <c r="O20" s="1">
        <f>SUMPRODUCT((NOT(ISBLANK(O$3:O$12))*(O$3:O$12&gt;$AH$3:$AH$12))+ISBLANK(O$3:O$12))</f>
        <v>0</v>
      </c>
      <c r="P20" s="1">
        <f>SUMPRODUCT((NOT(ISBLANK(P$3:P$12))*(P$3:P$12&gt;$AC$3:$AC$12))+ISBLANK(P$3:P$12))</f>
        <v>0</v>
      </c>
      <c r="Q20" s="1">
        <f>SUMPRODUCT((NOT(ISBLANK(Q$3:Q$12))*(Q$3:Q$12&gt;$AD$3:$AD$12))+ISBLANK(Q$3:Q$12))</f>
        <v>0</v>
      </c>
      <c r="R20" s="1"/>
      <c r="S20" s="1">
        <f>SUMPRODUCT((NOT(ISBLANK(S$3:S$12))*(S$3:S$12&gt;$AE$3:$AE$12))+ISBLANK(S$3:S$12))</f>
        <v>0</v>
      </c>
      <c r="T20" s="1">
        <f>SUMPRODUCT((NOT(ISBLANK(T$3:T$12))*(T$3:T$12&gt;$AF$3:$AF$12))+ISBLANK(T$3:T$12))</f>
        <v>0</v>
      </c>
      <c r="U20" s="1">
        <f>SUMPRODUCT((NOT(ISBLANK(U$3:U$12))*(U$3:U$12&gt;$AG$3:$AG$12))+ISBLANK(U$3:U$12))</f>
        <v>0</v>
      </c>
      <c r="V20" s="1">
        <f>SUMPRODUCT((NOT(ISBLANK(V$3:V$12))*(V$3:V$12&gt;$AH$3:$AH$12))+ISBLANK(V$3:V$12))</f>
        <v>0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>
      <c r="A21" s="1" t="s">
        <v>17</v>
      </c>
      <c r="B21" s="1">
        <f>SUMPRODUCT((NOT(ISBLANK(B$3:B$12))*(B$3:B$12=$AI$3:$AI$12))+ISBLANK(B$3:B$12))</f>
        <v>0</v>
      </c>
      <c r="C21" s="1">
        <f>SUMPRODUCT((NOT(ISBLANK(C$3:C$12))*(C$3:C$12=$AJ$3:$AJ$12))+ISBLANK(C$3:C$12))</f>
        <v>0</v>
      </c>
      <c r="D21" s="1"/>
      <c r="E21" s="1">
        <f>SUMPRODUCT((NOT(ISBLANK(E$3:E$12))*(E$3:E$12=$AK$3:$AK$12))+ISBLANK(E$3:E$12))</f>
        <v>0</v>
      </c>
      <c r="F21" s="1">
        <f>SUMPRODUCT((NOT(ISBLANK(F$3:F$12))*(F$3:F$12=$AL$3:$AL$12))+ISBLANK(F$3:F$12))</f>
        <v>0</v>
      </c>
      <c r="G21" s="1">
        <f>SUMPRODUCT((NOT(ISBLANK(G$3:G$12))*(G$3:G$12=$AM$3:$AM$12))+ISBLANK(G$3:G$12))</f>
        <v>0</v>
      </c>
      <c r="H21" s="1">
        <f>SUMPRODUCT((NOT(ISBLANK(H$3:H$12))*(H$3:H$12=$AN$3:$AN$12))+ISBLANK(H$3:H$12))</f>
        <v>0</v>
      </c>
      <c r="I21" s="1">
        <f>SUMPRODUCT((NOT(ISBLANK(I$3:I$12))*(I$3:I$12=$AI$3:$AI$12))+ISBLANK(I$3:I$12))</f>
        <v>0</v>
      </c>
      <c r="J21" s="1">
        <f>SUMPRODUCT((NOT(ISBLANK(J$3:J$12))*(J$3:J$12=$AJ$3:$AJ$12))+ISBLANK(J$3:J$12))</f>
        <v>0</v>
      </c>
      <c r="K21" s="1"/>
      <c r="L21" s="1">
        <f>SUMPRODUCT((NOT(ISBLANK(L$3:L$12))*(L$3:L$12=$AK$3:$AK$12))+ISBLANK(L$3:L$12))</f>
        <v>0</v>
      </c>
      <c r="M21" s="1">
        <f>SUMPRODUCT((NOT(ISBLANK(M$3:M$12))*(M$3:M$12=$AL$3:$AL$12))+ISBLANK(M$3:M$12))</f>
        <v>0</v>
      </c>
      <c r="N21" s="1">
        <f>SUMPRODUCT((NOT(ISBLANK(N$3:N$12))*(N$3:N$12=$AM$3:$AM$12))+ISBLANK(N$3:N$12))</f>
        <v>0</v>
      </c>
      <c r="O21" s="1">
        <f>SUMPRODUCT((NOT(ISBLANK(O$3:O$12))*(O$3:O$12=$AN$3:$AN$12))+ISBLANK(O$3:O$12))</f>
        <v>0</v>
      </c>
      <c r="P21" s="1">
        <f>SUMPRODUCT((NOT(ISBLANK(P$3:P$12))*(P$3:P$12=$AI$3:$AI$12))+ISBLANK(P$3:P$12))</f>
        <v>0</v>
      </c>
      <c r="Q21" s="1">
        <f>SUMPRODUCT((NOT(ISBLANK(Q$3:Q$12))*(Q$3:Q$12=$AJ$3:$AJ$12))+ISBLANK(Q$3:Q$12))</f>
        <v>0</v>
      </c>
      <c r="R21" s="1"/>
      <c r="S21" s="1">
        <f>SUMPRODUCT((NOT(ISBLANK(S$3:S$12))*(S$3:S$12=$AK$3:$AK$12))+ISBLANK(S$3:S$12))</f>
        <v>0</v>
      </c>
      <c r="T21" s="1">
        <f>SUMPRODUCT((NOT(ISBLANK(T$3:T$12))*(T$3:T$12=$AL$3:$AL$12))+ISBLANK(T$3:T$12))</f>
        <v>0</v>
      </c>
      <c r="U21" s="1">
        <f>SUMPRODUCT((NOT(ISBLANK(U$3:U$12))*(U$3:U$12=$AM$3:$AM$12))+ISBLANK(U$3:U$12))</f>
        <v>0</v>
      </c>
      <c r="V21" s="1">
        <f>SUMPRODUCT((NOT(ISBLANK(V$3:V$12))*(V$3:V$12=$AN$3:$AN$12))+ISBLANK(V$3:V$12))</f>
        <v>0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28515625" customWidth="1"/>
    <col min="2" max="40" width="11.42578125" customWidth="1"/>
  </cols>
  <sheetData>
    <row r="1" spans="1:40">
      <c r="A1" s="1" t="s">
        <v>32</v>
      </c>
      <c r="B1" s="1" t="s">
        <v>18</v>
      </c>
      <c r="C1" s="1"/>
      <c r="D1" s="1"/>
      <c r="E1" s="1"/>
      <c r="F1" s="1"/>
      <c r="G1" s="1"/>
      <c r="H1" s="1"/>
      <c r="I1" s="1" t="s">
        <v>27</v>
      </c>
      <c r="J1" s="1"/>
      <c r="K1" s="1"/>
      <c r="L1" s="1"/>
      <c r="M1" s="1"/>
      <c r="N1" s="1"/>
      <c r="O1" s="1"/>
      <c r="P1" s="1" t="s">
        <v>28</v>
      </c>
      <c r="Q1" s="1"/>
      <c r="R1" s="1"/>
      <c r="S1" s="1"/>
      <c r="T1" s="1"/>
      <c r="U1" s="1"/>
      <c r="V1" s="1"/>
      <c r="W1" s="1" t="s">
        <v>29</v>
      </c>
      <c r="X1" s="1"/>
      <c r="Y1" s="1"/>
      <c r="Z1" s="1"/>
      <c r="AA1" s="1"/>
      <c r="AB1" s="1"/>
      <c r="AC1" s="1" t="s">
        <v>30</v>
      </c>
      <c r="AD1" s="1"/>
      <c r="AE1" s="1"/>
      <c r="AF1" s="1"/>
      <c r="AG1" s="1"/>
      <c r="AH1" s="1"/>
      <c r="AI1" s="1" t="s">
        <v>31</v>
      </c>
      <c r="AJ1" s="1"/>
      <c r="AK1" s="1"/>
      <c r="AL1" s="1"/>
      <c r="AM1" s="1"/>
      <c r="AN1" s="1"/>
    </row>
    <row r="2" spans="1:40">
      <c r="A2" s="2" t="s">
        <v>30</v>
      </c>
      <c r="B2" s="1" t="s">
        <v>19</v>
      </c>
      <c r="C2" s="1" t="s">
        <v>20</v>
      </c>
      <c r="D2" s="1" t="s">
        <v>21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19</v>
      </c>
      <c r="J2" s="1" t="s">
        <v>20</v>
      </c>
      <c r="K2" s="1" t="s">
        <v>21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19</v>
      </c>
      <c r="Q2" s="1" t="s">
        <v>20</v>
      </c>
      <c r="R2" s="1" t="s">
        <v>21</v>
      </c>
      <c r="S2" s="1" t="s">
        <v>23</v>
      </c>
      <c r="T2" s="1" t="s">
        <v>24</v>
      </c>
      <c r="U2" s="1" t="s">
        <v>25</v>
      </c>
      <c r="V2" s="1" t="s">
        <v>26</v>
      </c>
      <c r="W2" s="1" t="s">
        <v>19</v>
      </c>
      <c r="X2" s="1" t="s">
        <v>20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19</v>
      </c>
      <c r="AD2" s="1" t="s">
        <v>20</v>
      </c>
      <c r="AE2" s="1" t="s">
        <v>23</v>
      </c>
      <c r="AF2" s="1" t="s">
        <v>24</v>
      </c>
      <c r="AG2" s="1" t="s">
        <v>25</v>
      </c>
      <c r="AH2" s="1" t="s">
        <v>26</v>
      </c>
      <c r="AI2" s="1" t="s">
        <v>19</v>
      </c>
      <c r="AJ2" s="1" t="s">
        <v>20</v>
      </c>
      <c r="AK2" s="1" t="s">
        <v>23</v>
      </c>
      <c r="AL2" s="1" t="s">
        <v>24</v>
      </c>
      <c r="AM2" s="1" t="s">
        <v>25</v>
      </c>
      <c r="AN2" s="1" t="s">
        <v>26</v>
      </c>
    </row>
    <row r="3" spans="1:40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/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/>
      <c r="L3" s="1" cm="1">
        <f t="array" ref="L3">_xlfn.SWITCH($A$2,"average", AVERAGE(Instances!L3:Instances!L3),"median", MEDIAN(Instances!L3:Instances!L3),"min", MIN(Instances!L3:Instances!L3),"max", MAX(Instances!L3:Instances!L3),"diff", MAX(Instances!L3:Instances!L3)-MIN(Instances!L3:Instances!L3))</f>
        <v>0</v>
      </c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 cm="1">
        <f t="array" ref="O3">_xlfn.SWITCH($A$2,"average", AVERAGE(Instances!O3:Instances!O3),"median", MEDIAN(Instances!O3:Instances!O3),"min", MIN(Instances!O3:Instances!O3),"max", MAX(Instances!O3:Instances!O3),"diff", MAX(Instances!O3:Instances!O3)-MIN(Instances!O3:Instances!O3))</f>
        <v>0</v>
      </c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/>
      <c r="S3" s="1" cm="1">
        <f t="array" ref="S3">_xlfn.SWITCH($A$2,"average", AVERAGE(Instances!S3:Instances!S3),"median", MEDIAN(Instances!S3:Instances!S3),"min", MIN(Instances!S3:Instances!S3),"max", MAX(Instances!S3:Instances!S3),"diff", MAX(Instances!S3:Instances!S3)-MIN(Instances!S3:Instances!S3))</f>
        <v>0</v>
      </c>
      <c r="T3" s="1" cm="1">
        <f t="array" ref="T3">_xlfn.SWITCH($A$2,"average", AVERAGE(Instances!T3:Instances!T3),"median", MEDIAN(Instances!T3:Instances!T3),"min", MIN(Instances!T3:Instances!T3),"max", MAX(Instances!T3:Instances!T3),"diff", MAX(Instances!T3:Instances!T3)-MIN(Instances!T3:Instances!T3))</f>
        <v>0</v>
      </c>
      <c r="U3" s="1" cm="1">
        <f t="array" ref="U3">_xlfn.SWITCH($A$2,"average", AVERAGE(Instances!U3:Instances!U3),"median", MEDIAN(Instances!U3:Instances!U3),"min", MIN(Instances!U3:Instances!U3),"max", MAX(Instances!U3:Instances!U3),"diff", MAX(Instances!U3:Instances!U3)-MIN(Instances!U3:Instances!U3))</f>
        <v>0</v>
      </c>
      <c r="V3" s="1" cm="1">
        <f t="array" ref="V3">_xlfn.SWITCH($A$2,"average", AVERAGE(Instances!V3:Instances!V3),"median", MEDIAN(Instances!V3:Instances!V3),"min", MIN(Instances!V3:Instances!V3),"max", MAX(Instances!V3:Instances!V3),"diff", MAX(Instances!V3:Instances!V3)-MIN(Instances!V3:Instances!V3))</f>
        <v>0</v>
      </c>
      <c r="W3" s="1">
        <f>MIN($B3,$I3,$P3)</f>
        <v>0</v>
      </c>
      <c r="X3" s="1">
        <f>MIN($C3,$J3,$Q3)</f>
        <v>0</v>
      </c>
      <c r="Y3" s="1">
        <f>MIN($E3,$L3,$S3)</f>
        <v>0</v>
      </c>
      <c r="Z3" s="1">
        <f>MIN($F3,$M3,$T3)</f>
        <v>0</v>
      </c>
      <c r="AA3" s="1">
        <f>MIN($G3,$N3,$U3)</f>
        <v>0</v>
      </c>
      <c r="AB3" s="1">
        <f>MIN($H3,$O3,$V3)</f>
        <v>0</v>
      </c>
      <c r="AC3" s="1">
        <f>MEDIAN($B3,$I3,$P3)</f>
        <v>0</v>
      </c>
      <c r="AD3" s="1">
        <f>MEDIAN($C3,$J3,$Q3)</f>
        <v>0</v>
      </c>
      <c r="AE3" s="1">
        <f>MEDIAN($E3,$L3,$S3)</f>
        <v>0</v>
      </c>
      <c r="AF3" s="1">
        <f>MEDIAN($F3,$M3,$T3)</f>
        <v>0</v>
      </c>
      <c r="AG3" s="1">
        <f>MEDIAN($G3,$N3,$U3)</f>
        <v>0</v>
      </c>
      <c r="AH3" s="1">
        <f>MEDIAN($H3,$O3,$V3)</f>
        <v>0</v>
      </c>
      <c r="AI3" s="1">
        <f>MAX($B3,$I3,$P3)</f>
        <v>0</v>
      </c>
      <c r="AJ3" s="1">
        <f>MAX($C3,$J3,$Q3)</f>
        <v>0</v>
      </c>
      <c r="AK3" s="1">
        <f>MAX($E3,$L3,$S3)</f>
        <v>0</v>
      </c>
      <c r="AL3" s="1">
        <f>MAX($F3,$M3,$T3)</f>
        <v>0</v>
      </c>
      <c r="AM3" s="1">
        <f>MAX($G3,$N3,$U3)</f>
        <v>0</v>
      </c>
      <c r="AN3" s="1">
        <f>MAX($H3,$O3,$V3)</f>
        <v>0</v>
      </c>
    </row>
    <row r="4" spans="1:40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/>
      <c r="D4" s="1"/>
      <c r="E4" s="1"/>
      <c r="F4" s="1"/>
      <c r="G4" s="1"/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/>
      <c r="L4" s="1" cm="1">
        <f t="array" ref="L4">_xlfn.SWITCH($A$2,"average", AVERAGE(Instances!L4:Instances!L4),"median", MEDIAN(Instances!L4:Instances!L4),"min", MIN(Instances!L4:Instances!L4),"max", MAX(Instances!L4:Instances!L4),"diff", MAX(Instances!L4:Instances!L4)-MIN(Instances!L4:Instances!L4))</f>
        <v>0</v>
      </c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 cm="1">
        <f t="array" ref="O4">_xlfn.SWITCH($A$2,"average", AVERAGE(Instances!O4:Instances!O4),"median", MEDIAN(Instances!O4:Instances!O4),"min", MIN(Instances!O4:Instances!O4),"max", MAX(Instances!O4:Instances!O4),"diff", MAX(Instances!O4:Instances!O4)-MIN(Instances!O4:Instances!O4))</f>
        <v>0</v>
      </c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/>
      <c r="S4" s="1" cm="1">
        <f t="array" ref="S4">_xlfn.SWITCH($A$2,"average", AVERAGE(Instances!S4:Instances!S4),"median", MEDIAN(Instances!S4:Instances!S4),"min", MIN(Instances!S4:Instances!S4),"max", MAX(Instances!S4:Instances!S4),"diff", MAX(Instances!S4:Instances!S4)-MIN(Instances!S4:Instances!S4))</f>
        <v>0</v>
      </c>
      <c r="T4" s="1" cm="1">
        <f t="array" ref="T4">_xlfn.SWITCH($A$2,"average", AVERAGE(Instances!T4:Instances!T4),"median", MEDIAN(Instances!T4:Instances!T4),"min", MIN(Instances!T4:Instances!T4),"max", MAX(Instances!T4:Instances!T4),"diff", MAX(Instances!T4:Instances!T4)-MIN(Instances!T4:Instances!T4))</f>
        <v>0</v>
      </c>
      <c r="U4" s="1" cm="1">
        <f t="array" ref="U4">_xlfn.SWITCH($A$2,"average", AVERAGE(Instances!U4:Instances!U4),"median", MEDIAN(Instances!U4:Instances!U4),"min", MIN(Instances!U4:Instances!U4),"max", MAX(Instances!U4:Instances!U4),"diff", MAX(Instances!U4:Instances!U4)-MIN(Instances!U4:Instances!U4))</f>
        <v>0</v>
      </c>
      <c r="V4" s="1" cm="1">
        <f t="array" ref="V4">_xlfn.SWITCH($A$2,"average", AVERAGE(Instances!V4:Instances!V4),"median", MEDIAN(Instances!V4:Instances!V4),"min", MIN(Instances!V4:Instances!V4),"max", MAX(Instances!V4:Instances!V4),"diff", MAX(Instances!V4:Instances!V4)-MIN(Instances!V4:Instances!V4))</f>
        <v>0</v>
      </c>
      <c r="W4" s="1">
        <f>MIN($B4,$I4,$P4)</f>
        <v>0</v>
      </c>
      <c r="X4" s="1">
        <f>MIN($C4,$J4,$Q4)</f>
        <v>0</v>
      </c>
      <c r="Y4" s="1">
        <f>MIN($E4,$L4,$S4)</f>
        <v>0</v>
      </c>
      <c r="Z4" s="1">
        <f>MIN($F4,$M4,$T4)</f>
        <v>0</v>
      </c>
      <c r="AA4" s="1">
        <f>MIN($G4,$N4,$U4)</f>
        <v>0</v>
      </c>
      <c r="AB4" s="1">
        <f>MIN($H4,$O4,$V4)</f>
        <v>0</v>
      </c>
      <c r="AC4" s="1">
        <f>MEDIAN($B4,$I4,$P4)</f>
        <v>0</v>
      </c>
      <c r="AD4" s="1">
        <f>MEDIAN($C4,$J4,$Q4)</f>
        <v>0</v>
      </c>
      <c r="AE4" s="1">
        <f>MEDIAN($E4,$L4,$S4)</f>
        <v>0</v>
      </c>
      <c r="AF4" s="1">
        <f>MEDIAN($F4,$M4,$T4)</f>
        <v>0</v>
      </c>
      <c r="AG4" s="1">
        <f>MEDIAN($G4,$N4,$U4)</f>
        <v>0</v>
      </c>
      <c r="AH4" s="1">
        <f>MEDIAN($H4,$O4,$V4)</f>
        <v>0</v>
      </c>
      <c r="AI4" s="1">
        <f>MAX($B4,$I4,$P4)</f>
        <v>0</v>
      </c>
      <c r="AJ4" s="1">
        <f>MAX($C4,$J4,$Q4)</f>
        <v>0</v>
      </c>
      <c r="AK4" s="1">
        <f>MAX($E4,$L4,$S4)</f>
        <v>0</v>
      </c>
      <c r="AL4" s="1">
        <f>MAX($F4,$M4,$T4)</f>
        <v>0</v>
      </c>
      <c r="AM4" s="1">
        <f>MAX($G4,$N4,$U4)</f>
        <v>0</v>
      </c>
      <c r="AN4" s="1">
        <f>MAX($H4,$O4,$V4)</f>
        <v>0</v>
      </c>
    </row>
    <row r="5" spans="1:40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/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/>
      <c r="L5" s="1" cm="1">
        <f t="array" ref="L5">_xlfn.SWITCH($A$2,"average", AVERAGE(Instances!L5:Instances!L5),"median", MEDIAN(Instances!L5:Instances!L5),"min", MIN(Instances!L5:Instances!L5),"max", MAX(Instances!L5:Instances!L5),"diff", MAX(Instances!L5:Instances!L5)-MIN(Instances!L5:Instances!L5))</f>
        <v>0</v>
      </c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 cm="1">
        <f t="array" ref="O5">_xlfn.SWITCH($A$2,"average", AVERAGE(Instances!O5:Instances!O5),"median", MEDIAN(Instances!O5:Instances!O5),"min", MIN(Instances!O5:Instances!O5),"max", MAX(Instances!O5:Instances!O5),"diff", MAX(Instances!O5:Instances!O5)-MIN(Instances!O5:Instances!O5))</f>
        <v>0</v>
      </c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/>
      <c r="S5" s="1" cm="1">
        <f t="array" ref="S5">_xlfn.SWITCH($A$2,"average", AVERAGE(Instances!S5:Instances!S5),"median", MEDIAN(Instances!S5:Instances!S5),"min", MIN(Instances!S5:Instances!S5),"max", MAX(Instances!S5:Instances!S5),"diff", MAX(Instances!S5:Instances!S5)-MIN(Instances!S5:Instances!S5))</f>
        <v>0</v>
      </c>
      <c r="T5" s="1" cm="1">
        <f t="array" ref="T5">_xlfn.SWITCH($A$2,"average", AVERAGE(Instances!T5:Instances!T5),"median", MEDIAN(Instances!T5:Instances!T5),"min", MIN(Instances!T5:Instances!T5),"max", MAX(Instances!T5:Instances!T5),"diff", MAX(Instances!T5:Instances!T5)-MIN(Instances!T5:Instances!T5))</f>
        <v>0</v>
      </c>
      <c r="U5" s="1" cm="1">
        <f t="array" ref="U5">_xlfn.SWITCH($A$2,"average", AVERAGE(Instances!U5:Instances!U5),"median", MEDIAN(Instances!U5:Instances!U5),"min", MIN(Instances!U5:Instances!U5),"max", MAX(Instances!U5:Instances!U5),"diff", MAX(Instances!U5:Instances!U5)-MIN(Instances!U5:Instances!U5))</f>
        <v>0</v>
      </c>
      <c r="V5" s="1" cm="1">
        <f t="array" ref="V5">_xlfn.SWITCH($A$2,"average", AVERAGE(Instances!V5:Instances!V5),"median", MEDIAN(Instances!V5:Instances!V5),"min", MIN(Instances!V5:Instances!V5),"max", MAX(Instances!V5:Instances!V5),"diff", MAX(Instances!V5:Instances!V5)-MIN(Instances!V5:Instances!V5))</f>
        <v>0</v>
      </c>
      <c r="W5" s="1">
        <f>MIN($B5,$I5,$P5)</f>
        <v>0</v>
      </c>
      <c r="X5" s="1">
        <f>MIN($C5,$J5,$Q5)</f>
        <v>0</v>
      </c>
      <c r="Y5" s="1">
        <f>MIN($E5,$L5,$S5)</f>
        <v>0</v>
      </c>
      <c r="Z5" s="1">
        <f>MIN($F5,$M5,$T5)</f>
        <v>0</v>
      </c>
      <c r="AA5" s="1">
        <f>MIN($G5,$N5,$U5)</f>
        <v>0</v>
      </c>
      <c r="AB5" s="1">
        <f>MIN($H5,$O5,$V5)</f>
        <v>0</v>
      </c>
      <c r="AC5" s="1">
        <f>MEDIAN($B5,$I5,$P5)</f>
        <v>0</v>
      </c>
      <c r="AD5" s="1">
        <f>MEDIAN($C5,$J5,$Q5)</f>
        <v>0</v>
      </c>
      <c r="AE5" s="1">
        <f>MEDIAN($E5,$L5,$S5)</f>
        <v>0</v>
      </c>
      <c r="AF5" s="1">
        <f>MEDIAN($F5,$M5,$T5)</f>
        <v>0</v>
      </c>
      <c r="AG5" s="1">
        <f>MEDIAN($G5,$N5,$U5)</f>
        <v>0</v>
      </c>
      <c r="AH5" s="1">
        <f>MEDIAN($H5,$O5,$V5)</f>
        <v>0</v>
      </c>
      <c r="AI5" s="1">
        <f>MAX($B5,$I5,$P5)</f>
        <v>0</v>
      </c>
      <c r="AJ5" s="1">
        <f>MAX($C5,$J5,$Q5)</f>
        <v>0</v>
      </c>
      <c r="AK5" s="1">
        <f>MAX($E5,$L5,$S5)</f>
        <v>0</v>
      </c>
      <c r="AL5" s="1">
        <f>MAX($F5,$M5,$T5)</f>
        <v>0</v>
      </c>
      <c r="AM5" s="1">
        <f>MAX($G5,$N5,$U5)</f>
        <v>0</v>
      </c>
      <c r="AN5" s="1">
        <f>MAX($H5,$O5,$V5)</f>
        <v>0</v>
      </c>
    </row>
    <row r="6" spans="1:40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/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/>
      <c r="L6" s="1" cm="1">
        <f t="array" ref="L6">_xlfn.SWITCH($A$2,"average", AVERAGE(Instances!L6:Instances!L6),"median", MEDIAN(Instances!L6:Instances!L6),"min", MIN(Instances!L6:Instances!L6),"max", MAX(Instances!L6:Instances!L6),"diff", MAX(Instances!L6:Instances!L6)-MIN(Instances!L6:Instances!L6))</f>
        <v>0</v>
      </c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 cm="1">
        <f t="array" ref="O6">_xlfn.SWITCH($A$2,"average", AVERAGE(Instances!O6:Instances!O6),"median", MEDIAN(Instances!O6:Instances!O6),"min", MIN(Instances!O6:Instances!O6),"max", MAX(Instances!O6:Instances!O6),"diff", MAX(Instances!O6:Instances!O6)-MIN(Instances!O6:Instances!O6))</f>
        <v>0</v>
      </c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/>
      <c r="S6" s="1" cm="1">
        <f t="array" ref="S6">_xlfn.SWITCH($A$2,"average", AVERAGE(Instances!S6:Instances!S6),"median", MEDIAN(Instances!S6:Instances!S6),"min", MIN(Instances!S6:Instances!S6),"max", MAX(Instances!S6:Instances!S6),"diff", MAX(Instances!S6:Instances!S6)-MIN(Instances!S6:Instances!S6))</f>
        <v>0</v>
      </c>
      <c r="T6" s="1" cm="1">
        <f t="array" ref="T6">_xlfn.SWITCH($A$2,"average", AVERAGE(Instances!T6:Instances!T6),"median", MEDIAN(Instances!T6:Instances!T6),"min", MIN(Instances!T6:Instances!T6),"max", MAX(Instances!T6:Instances!T6),"diff", MAX(Instances!T6:Instances!T6)-MIN(Instances!T6:Instances!T6))</f>
        <v>0</v>
      </c>
      <c r="U6" s="1" cm="1">
        <f t="array" ref="U6">_xlfn.SWITCH($A$2,"average", AVERAGE(Instances!U6:Instances!U6),"median", MEDIAN(Instances!U6:Instances!U6),"min", MIN(Instances!U6:Instances!U6),"max", MAX(Instances!U6:Instances!U6),"diff", MAX(Instances!U6:Instances!U6)-MIN(Instances!U6:Instances!U6))</f>
        <v>0</v>
      </c>
      <c r="V6" s="1" cm="1">
        <f t="array" ref="V6">_xlfn.SWITCH($A$2,"average", AVERAGE(Instances!V6:Instances!V6),"median", MEDIAN(Instances!V6:Instances!V6),"min", MIN(Instances!V6:Instances!V6),"max", MAX(Instances!V6:Instances!V6),"diff", MAX(Instances!V6:Instances!V6)-MIN(Instances!V6:Instances!V6))</f>
        <v>0</v>
      </c>
      <c r="W6" s="1">
        <f>MIN($B6,$I6,$P6)</f>
        <v>0</v>
      </c>
      <c r="X6" s="1">
        <f>MIN($C6,$J6,$Q6)</f>
        <v>0</v>
      </c>
      <c r="Y6" s="1">
        <f>MIN($E6,$L6,$S6)</f>
        <v>0</v>
      </c>
      <c r="Z6" s="1">
        <f>MIN($F6,$M6,$T6)</f>
        <v>0</v>
      </c>
      <c r="AA6" s="1">
        <f>MIN($G6,$N6,$U6)</f>
        <v>0</v>
      </c>
      <c r="AB6" s="1">
        <f>MIN($H6,$O6,$V6)</f>
        <v>0</v>
      </c>
      <c r="AC6" s="1">
        <f>MEDIAN($B6,$I6,$P6)</f>
        <v>0</v>
      </c>
      <c r="AD6" s="1">
        <f>MEDIAN($C6,$J6,$Q6)</f>
        <v>0</v>
      </c>
      <c r="AE6" s="1">
        <f>MEDIAN($E6,$L6,$S6)</f>
        <v>0</v>
      </c>
      <c r="AF6" s="1">
        <f>MEDIAN($F6,$M6,$T6)</f>
        <v>0</v>
      </c>
      <c r="AG6" s="1">
        <f>MEDIAN($G6,$N6,$U6)</f>
        <v>0</v>
      </c>
      <c r="AH6" s="1">
        <f>MEDIAN($H6,$O6,$V6)</f>
        <v>0</v>
      </c>
      <c r="AI6" s="1">
        <f>MAX($B6,$I6,$P6)</f>
        <v>0</v>
      </c>
      <c r="AJ6" s="1">
        <f>MAX($C6,$J6,$Q6)</f>
        <v>0</v>
      </c>
      <c r="AK6" s="1">
        <f>MAX($E6,$L6,$S6)</f>
        <v>0</v>
      </c>
      <c r="AL6" s="1">
        <f>MAX($F6,$M6,$T6)</f>
        <v>0</v>
      </c>
      <c r="AM6" s="1">
        <f>MAX($G6,$N6,$U6)</f>
        <v>0</v>
      </c>
      <c r="AN6" s="1">
        <f>MAX($H6,$O6,$V6)</f>
        <v>0</v>
      </c>
    </row>
    <row r="7" spans="1:40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/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/>
      <c r="L7" s="1" cm="1">
        <f t="array" ref="L7">_xlfn.SWITCH($A$2,"average", AVERAGE(Instances!L7:Instances!L7),"median", MEDIAN(Instances!L7:Instances!L7),"min", MIN(Instances!L7:Instances!L7),"max", MAX(Instances!L7:Instances!L7),"diff", MAX(Instances!L7:Instances!L7)-MIN(Instances!L7:Instances!L7))</f>
        <v>0</v>
      </c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 cm="1">
        <f t="array" ref="N7">_xlfn.SWITCH($A$2,"average", AVERAGE(Instances!N7:Instances!N7),"median", MEDIAN(Instances!N7:Instances!N7),"min", MIN(Instances!N7:Instances!N7),"max", MAX(Instances!N7:Instances!N7),"diff", MAX(Instances!N7:Instances!N7)-MIN(Instances!N7:Instances!N7))</f>
        <v>0</v>
      </c>
      <c r="O7" s="1" cm="1">
        <f t="array" ref="O7">_xlfn.SWITCH($A$2,"average", AVERAGE(Instances!O7:Instances!O7),"median", MEDIAN(Instances!O7:Instances!O7),"min", MIN(Instances!O7:Instances!O7),"max", MAX(Instances!O7:Instances!O7),"diff", MAX(Instances!O7:Instances!O7)-MIN(Instances!O7:Instances!O7))</f>
        <v>0</v>
      </c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/>
      <c r="S7" s="1" cm="1">
        <f t="array" ref="S7">_xlfn.SWITCH($A$2,"average", AVERAGE(Instances!S7:Instances!S7),"median", MEDIAN(Instances!S7:Instances!S7),"min", MIN(Instances!S7:Instances!S7),"max", MAX(Instances!S7:Instances!S7),"diff", MAX(Instances!S7:Instances!S7)-MIN(Instances!S7:Instances!S7))</f>
        <v>0</v>
      </c>
      <c r="T7" s="1" cm="1">
        <f t="array" ref="T7">_xlfn.SWITCH($A$2,"average", AVERAGE(Instances!T7:Instances!T7),"median", MEDIAN(Instances!T7:Instances!T7),"min", MIN(Instances!T7:Instances!T7),"max", MAX(Instances!T7:Instances!T7),"diff", MAX(Instances!T7:Instances!T7)-MIN(Instances!T7:Instances!T7))</f>
        <v>0</v>
      </c>
      <c r="U7" s="1" cm="1">
        <f t="array" ref="U7">_xlfn.SWITCH($A$2,"average", AVERAGE(Instances!U7:Instances!U7),"median", MEDIAN(Instances!U7:Instances!U7),"min", MIN(Instances!U7:Instances!U7),"max", MAX(Instances!U7:Instances!U7),"diff", MAX(Instances!U7:Instances!U7)-MIN(Instances!U7:Instances!U7))</f>
        <v>0</v>
      </c>
      <c r="V7" s="1" cm="1">
        <f t="array" ref="V7">_xlfn.SWITCH($A$2,"average", AVERAGE(Instances!V7:Instances!V7),"median", MEDIAN(Instances!V7:Instances!V7),"min", MIN(Instances!V7:Instances!V7),"max", MAX(Instances!V7:Instances!V7),"diff", MAX(Instances!V7:Instances!V7)-MIN(Instances!V7:Instances!V7))</f>
        <v>0</v>
      </c>
      <c r="W7" s="1">
        <f>MIN($B7,$I7,$P7)</f>
        <v>0</v>
      </c>
      <c r="X7" s="1">
        <f>MIN($C7,$J7,$Q7)</f>
        <v>0</v>
      </c>
      <c r="Y7" s="1">
        <f>MIN($E7,$L7,$S7)</f>
        <v>0</v>
      </c>
      <c r="Z7" s="1">
        <f>MIN($F7,$M7,$T7)</f>
        <v>0</v>
      </c>
      <c r="AA7" s="1">
        <f>MIN($G7,$N7,$U7)</f>
        <v>0</v>
      </c>
      <c r="AB7" s="1">
        <f>MIN($H7,$O7,$V7)</f>
        <v>0</v>
      </c>
      <c r="AC7" s="1">
        <f>MEDIAN($B7,$I7,$P7)</f>
        <v>0</v>
      </c>
      <c r="AD7" s="1">
        <f>MEDIAN($C7,$J7,$Q7)</f>
        <v>0</v>
      </c>
      <c r="AE7" s="1">
        <f>MEDIAN($E7,$L7,$S7)</f>
        <v>0</v>
      </c>
      <c r="AF7" s="1">
        <f>MEDIAN($F7,$M7,$T7)</f>
        <v>0</v>
      </c>
      <c r="AG7" s="1">
        <f>MEDIAN($G7,$N7,$U7)</f>
        <v>0</v>
      </c>
      <c r="AH7" s="1">
        <f>MEDIAN($H7,$O7,$V7)</f>
        <v>0</v>
      </c>
      <c r="AI7" s="1">
        <f>MAX($B7,$I7,$P7)</f>
        <v>0</v>
      </c>
      <c r="AJ7" s="1">
        <f>MAX($C7,$J7,$Q7)</f>
        <v>0</v>
      </c>
      <c r="AK7" s="1">
        <f>MAX($E7,$L7,$S7)</f>
        <v>0</v>
      </c>
      <c r="AL7" s="1">
        <f>MAX($F7,$M7,$T7)</f>
        <v>0</v>
      </c>
      <c r="AM7" s="1">
        <f>MAX($G7,$N7,$U7)</f>
        <v>0</v>
      </c>
      <c r="AN7" s="1">
        <f>MAX($H7,$O7,$V7)</f>
        <v>0</v>
      </c>
    </row>
    <row r="8" spans="1:40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/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/>
      <c r="L8" s="1" cm="1">
        <f t="array" ref="L8">_xlfn.SWITCH($A$2,"average", AVERAGE(Instances!L8:Instances!L8),"median", MEDIAN(Instances!L8:Instances!L8),"min", MIN(Instances!L8:Instances!L8),"max", MAX(Instances!L8:Instances!L8),"diff", MAX(Instances!L8:Instances!L8)-MIN(Instances!L8:Instances!L8))</f>
        <v>0</v>
      </c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 cm="1">
        <f t="array" ref="N8">_xlfn.SWITCH($A$2,"average", AVERAGE(Instances!N8:Instances!N8),"median", MEDIAN(Instances!N8:Instances!N8),"min", MIN(Instances!N8:Instances!N8),"max", MAX(Instances!N8:Instances!N8),"diff", MAX(Instances!N8:Instances!N8)-MIN(Instances!N8:Instances!N8))</f>
        <v>0</v>
      </c>
      <c r="O8" s="1" cm="1">
        <f t="array" ref="O8">_xlfn.SWITCH($A$2,"average", AVERAGE(Instances!O8:Instances!O8),"median", MEDIAN(Instances!O8:Instances!O8),"min", MIN(Instances!O8:Instances!O8),"max", MAX(Instances!O8:Instances!O8),"diff", MAX(Instances!O8:Instances!O8)-MIN(Instances!O8:Instances!O8))</f>
        <v>0</v>
      </c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/>
      <c r="S8" s="1" cm="1">
        <f t="array" ref="S8">_xlfn.SWITCH($A$2,"average", AVERAGE(Instances!S8:Instances!S8),"median", MEDIAN(Instances!S8:Instances!S8),"min", MIN(Instances!S8:Instances!S8),"max", MAX(Instances!S8:Instances!S8),"diff", MAX(Instances!S8:Instances!S8)-MIN(Instances!S8:Instances!S8))</f>
        <v>0</v>
      </c>
      <c r="T8" s="1" cm="1">
        <f t="array" ref="T8">_xlfn.SWITCH($A$2,"average", AVERAGE(Instances!T8:Instances!T8),"median", MEDIAN(Instances!T8:Instances!T8),"min", MIN(Instances!T8:Instances!T8),"max", MAX(Instances!T8:Instances!T8),"diff", MAX(Instances!T8:Instances!T8)-MIN(Instances!T8:Instances!T8))</f>
        <v>0</v>
      </c>
      <c r="U8" s="1" cm="1">
        <f t="array" ref="U8">_xlfn.SWITCH($A$2,"average", AVERAGE(Instances!U8:Instances!U8),"median", MEDIAN(Instances!U8:Instances!U8),"min", MIN(Instances!U8:Instances!U8),"max", MAX(Instances!U8:Instances!U8),"diff", MAX(Instances!U8:Instances!U8)-MIN(Instances!U8:Instances!U8))</f>
        <v>0</v>
      </c>
      <c r="V8" s="1" cm="1">
        <f t="array" ref="V8">_xlfn.SWITCH($A$2,"average", AVERAGE(Instances!V8:Instances!V8),"median", MEDIAN(Instances!V8:Instances!V8),"min", MIN(Instances!V8:Instances!V8),"max", MAX(Instances!V8:Instances!V8),"diff", MAX(Instances!V8:Instances!V8)-MIN(Instances!V8:Instances!V8))</f>
        <v>0</v>
      </c>
      <c r="W8" s="1">
        <f>MIN($B8,$I8,$P8)</f>
        <v>0</v>
      </c>
      <c r="X8" s="1">
        <f>MIN($C8,$J8,$Q8)</f>
        <v>0</v>
      </c>
      <c r="Y8" s="1">
        <f>MIN($E8,$L8,$S8)</f>
        <v>0</v>
      </c>
      <c r="Z8" s="1">
        <f>MIN($F8,$M8,$T8)</f>
        <v>0</v>
      </c>
      <c r="AA8" s="1">
        <f>MIN($G8,$N8,$U8)</f>
        <v>0</v>
      </c>
      <c r="AB8" s="1">
        <f>MIN($H8,$O8,$V8)</f>
        <v>0</v>
      </c>
      <c r="AC8" s="1">
        <f>MEDIAN($B8,$I8,$P8)</f>
        <v>0</v>
      </c>
      <c r="AD8" s="1">
        <f>MEDIAN($C8,$J8,$Q8)</f>
        <v>0</v>
      </c>
      <c r="AE8" s="1">
        <f>MEDIAN($E8,$L8,$S8)</f>
        <v>0</v>
      </c>
      <c r="AF8" s="1">
        <f>MEDIAN($F8,$M8,$T8)</f>
        <v>0</v>
      </c>
      <c r="AG8" s="1">
        <f>MEDIAN($G8,$N8,$U8)</f>
        <v>0</v>
      </c>
      <c r="AH8" s="1">
        <f>MEDIAN($H8,$O8,$V8)</f>
        <v>0</v>
      </c>
      <c r="AI8" s="1">
        <f>MAX($B8,$I8,$P8)</f>
        <v>0</v>
      </c>
      <c r="AJ8" s="1">
        <f>MAX($C8,$J8,$Q8)</f>
        <v>0</v>
      </c>
      <c r="AK8" s="1">
        <f>MAX($E8,$L8,$S8)</f>
        <v>0</v>
      </c>
      <c r="AL8" s="1">
        <f>MAX($F8,$M8,$T8)</f>
        <v>0</v>
      </c>
      <c r="AM8" s="1">
        <f>MAX($G8,$N8,$U8)</f>
        <v>0</v>
      </c>
      <c r="AN8" s="1">
        <f>MAX($H8,$O8,$V8)</f>
        <v>0</v>
      </c>
    </row>
    <row r="9" spans="1:40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/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/>
      <c r="L9" s="1" cm="1">
        <f t="array" ref="L9">_xlfn.SWITCH($A$2,"average", AVERAGE(Instances!L9:Instances!L9),"median", MEDIAN(Instances!L9:Instances!L9),"min", MIN(Instances!L9:Instances!L9),"max", MAX(Instances!L9:Instances!L9),"diff", MAX(Instances!L9:Instances!L9)-MIN(Instances!L9:Instances!L9))</f>
        <v>0</v>
      </c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 cm="1">
        <f t="array" ref="N9">_xlfn.SWITCH($A$2,"average", AVERAGE(Instances!N9:Instances!N9),"median", MEDIAN(Instances!N9:Instances!N9),"min", MIN(Instances!N9:Instances!N9),"max", MAX(Instances!N9:Instances!N9),"diff", MAX(Instances!N9:Instances!N9)-MIN(Instances!N9:Instances!N9))</f>
        <v>0</v>
      </c>
      <c r="O9" s="1" cm="1">
        <f t="array" ref="O9">_xlfn.SWITCH($A$2,"average", AVERAGE(Instances!O9:Instances!O9),"median", MEDIAN(Instances!O9:Instances!O9),"min", MIN(Instances!O9:Instances!O9),"max", MAX(Instances!O9:Instances!O9),"diff", MAX(Instances!O9:Instances!O9)-MIN(Instances!O9:Instances!O9))</f>
        <v>0</v>
      </c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/>
      <c r="S9" s="1" cm="1">
        <f t="array" ref="S9">_xlfn.SWITCH($A$2,"average", AVERAGE(Instances!S9:Instances!S9),"median", MEDIAN(Instances!S9:Instances!S9),"min", MIN(Instances!S9:Instances!S9),"max", MAX(Instances!S9:Instances!S9),"diff", MAX(Instances!S9:Instances!S9)-MIN(Instances!S9:Instances!S9))</f>
        <v>0</v>
      </c>
      <c r="T9" s="1" cm="1">
        <f t="array" ref="T9">_xlfn.SWITCH($A$2,"average", AVERAGE(Instances!T9:Instances!T9),"median", MEDIAN(Instances!T9:Instances!T9),"min", MIN(Instances!T9:Instances!T9),"max", MAX(Instances!T9:Instances!T9),"diff", MAX(Instances!T9:Instances!T9)-MIN(Instances!T9:Instances!T9))</f>
        <v>0</v>
      </c>
      <c r="U9" s="1" cm="1">
        <f t="array" ref="U9">_xlfn.SWITCH($A$2,"average", AVERAGE(Instances!U9:Instances!U9),"median", MEDIAN(Instances!U9:Instances!U9),"min", MIN(Instances!U9:Instances!U9),"max", MAX(Instances!U9:Instances!U9),"diff", MAX(Instances!U9:Instances!U9)-MIN(Instances!U9:Instances!U9))</f>
        <v>0</v>
      </c>
      <c r="V9" s="1" cm="1">
        <f t="array" ref="V9">_xlfn.SWITCH($A$2,"average", AVERAGE(Instances!V9:Instances!V9),"median", MEDIAN(Instances!V9:Instances!V9),"min", MIN(Instances!V9:Instances!V9),"max", MAX(Instances!V9:Instances!V9),"diff", MAX(Instances!V9:Instances!V9)-MIN(Instances!V9:Instances!V9))</f>
        <v>0</v>
      </c>
      <c r="W9" s="1">
        <f>MIN($B9,$I9,$P9)</f>
        <v>0</v>
      </c>
      <c r="X9" s="1">
        <f>MIN($C9,$J9,$Q9)</f>
        <v>0</v>
      </c>
      <c r="Y9" s="1">
        <f>MIN($E9,$L9,$S9)</f>
        <v>0</v>
      </c>
      <c r="Z9" s="1">
        <f>MIN($F9,$M9,$T9)</f>
        <v>0</v>
      </c>
      <c r="AA9" s="1">
        <f>MIN($G9,$N9,$U9)</f>
        <v>0</v>
      </c>
      <c r="AB9" s="1">
        <f>MIN($H9,$O9,$V9)</f>
        <v>0</v>
      </c>
      <c r="AC9" s="1">
        <f>MEDIAN($B9,$I9,$P9)</f>
        <v>0</v>
      </c>
      <c r="AD9" s="1">
        <f>MEDIAN($C9,$J9,$Q9)</f>
        <v>0</v>
      </c>
      <c r="AE9" s="1">
        <f>MEDIAN($E9,$L9,$S9)</f>
        <v>0</v>
      </c>
      <c r="AF9" s="1">
        <f>MEDIAN($F9,$M9,$T9)</f>
        <v>0</v>
      </c>
      <c r="AG9" s="1">
        <f>MEDIAN($G9,$N9,$U9)</f>
        <v>0</v>
      </c>
      <c r="AH9" s="1">
        <f>MEDIAN($H9,$O9,$V9)</f>
        <v>0</v>
      </c>
      <c r="AI9" s="1">
        <f>MAX($B9,$I9,$P9)</f>
        <v>0</v>
      </c>
      <c r="AJ9" s="1">
        <f>MAX($C9,$J9,$Q9)</f>
        <v>0</v>
      </c>
      <c r="AK9" s="1">
        <f>MAX($E9,$L9,$S9)</f>
        <v>0</v>
      </c>
      <c r="AL9" s="1">
        <f>MAX($F9,$M9,$T9)</f>
        <v>0</v>
      </c>
      <c r="AM9" s="1">
        <f>MAX($G9,$N9,$U9)</f>
        <v>0</v>
      </c>
      <c r="AN9" s="1">
        <f>MAX($H9,$O9,$V9)</f>
        <v>0</v>
      </c>
    </row>
    <row r="10" spans="1:40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/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/>
      <c r="L10" s="1" cm="1">
        <f t="array" ref="L10">_xlfn.SWITCH($A$2,"average", AVERAGE(Instances!L10:Instances!L10),"median", MEDIAN(Instances!L10:Instances!L10),"min", MIN(Instances!L10:Instances!L10),"max", MAX(Instances!L10:Instances!L10),"diff", MAX(Instances!L10:Instances!L10)-MIN(Instances!L10:Instances!L10))</f>
        <v>0</v>
      </c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 cm="1">
        <f t="array" ref="N10">_xlfn.SWITCH($A$2,"average", AVERAGE(Instances!N10:Instances!N10),"median", MEDIAN(Instances!N10:Instances!N10),"min", MIN(Instances!N10:Instances!N10),"max", MAX(Instances!N10:Instances!N10),"diff", MAX(Instances!N10:Instances!N10)-MIN(Instances!N10:Instances!N10))</f>
        <v>0</v>
      </c>
      <c r="O10" s="1" cm="1">
        <f t="array" ref="O10">_xlfn.SWITCH($A$2,"average", AVERAGE(Instances!O10:Instances!O10),"median", MEDIAN(Instances!O10:Instances!O10),"min", MIN(Instances!O10:Instances!O10),"max", MAX(Instances!O10:Instances!O10),"diff", MAX(Instances!O10:Instances!O10)-MIN(Instances!O10:Instances!O10))</f>
        <v>0</v>
      </c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/>
      <c r="S10" s="1" cm="1">
        <f t="array" ref="S10">_xlfn.SWITCH($A$2,"average", AVERAGE(Instances!S10:Instances!S10),"median", MEDIAN(Instances!S10:Instances!S10),"min", MIN(Instances!S10:Instances!S10),"max", MAX(Instances!S10:Instances!S10),"diff", MAX(Instances!S10:Instances!S10)-MIN(Instances!S10:Instances!S10))</f>
        <v>0</v>
      </c>
      <c r="T10" s="1" cm="1">
        <f t="array" ref="T10">_xlfn.SWITCH($A$2,"average", AVERAGE(Instances!T10:Instances!T10),"median", MEDIAN(Instances!T10:Instances!T10),"min", MIN(Instances!T10:Instances!T10),"max", MAX(Instances!T10:Instances!T10),"diff", MAX(Instances!T10:Instances!T10)-MIN(Instances!T10:Instances!T10))</f>
        <v>0</v>
      </c>
      <c r="U10" s="1" cm="1">
        <f t="array" ref="U10">_xlfn.SWITCH($A$2,"average", AVERAGE(Instances!U10:Instances!U10),"median", MEDIAN(Instances!U10:Instances!U10),"min", MIN(Instances!U10:Instances!U10),"max", MAX(Instances!U10:Instances!U10),"diff", MAX(Instances!U10:Instances!U10)-MIN(Instances!U10:Instances!U10))</f>
        <v>0</v>
      </c>
      <c r="V10" s="1" cm="1">
        <f t="array" ref="V10">_xlfn.SWITCH($A$2,"average", AVERAGE(Instances!V10:Instances!V10),"median", MEDIAN(Instances!V10:Instances!V10),"min", MIN(Instances!V10:Instances!V10),"max", MAX(Instances!V10:Instances!V10),"diff", MAX(Instances!V10:Instances!V10)-MIN(Instances!V10:Instances!V10))</f>
        <v>0</v>
      </c>
      <c r="W10" s="1">
        <f>MIN($B10,$I10,$P10)</f>
        <v>0</v>
      </c>
      <c r="X10" s="1">
        <f>MIN($C10,$J10,$Q10)</f>
        <v>0</v>
      </c>
      <c r="Y10" s="1">
        <f>MIN($E10,$L10,$S10)</f>
        <v>0</v>
      </c>
      <c r="Z10" s="1">
        <f>MIN($F10,$M10,$T10)</f>
        <v>0</v>
      </c>
      <c r="AA10" s="1">
        <f>MIN($G10,$N10,$U10)</f>
        <v>0</v>
      </c>
      <c r="AB10" s="1">
        <f>MIN($H10,$O10,$V10)</f>
        <v>0</v>
      </c>
      <c r="AC10" s="1">
        <f>MEDIAN($B10,$I10,$P10)</f>
        <v>0</v>
      </c>
      <c r="AD10" s="1">
        <f>MEDIAN($C10,$J10,$Q10)</f>
        <v>0</v>
      </c>
      <c r="AE10" s="1">
        <f>MEDIAN($E10,$L10,$S10)</f>
        <v>0</v>
      </c>
      <c r="AF10" s="1">
        <f>MEDIAN($F10,$M10,$T10)</f>
        <v>0</v>
      </c>
      <c r="AG10" s="1">
        <f>MEDIAN($G10,$N10,$U10)</f>
        <v>0</v>
      </c>
      <c r="AH10" s="1">
        <f>MEDIAN($H10,$O10,$V10)</f>
        <v>0</v>
      </c>
      <c r="AI10" s="1">
        <f>MAX($B10,$I10,$P10)</f>
        <v>0</v>
      </c>
      <c r="AJ10" s="1">
        <f>MAX($C10,$J10,$Q10)</f>
        <v>0</v>
      </c>
      <c r="AK10" s="1">
        <f>MAX($E10,$L10,$S10)</f>
        <v>0</v>
      </c>
      <c r="AL10" s="1">
        <f>MAX($F10,$M10,$T10)</f>
        <v>0</v>
      </c>
      <c r="AM10" s="1">
        <f>MAX($G10,$N10,$U10)</f>
        <v>0</v>
      </c>
      <c r="AN10" s="1">
        <f>MAX($H10,$O10,$V10)</f>
        <v>0</v>
      </c>
    </row>
    <row r="11" spans="1:40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/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/>
      <c r="L11" s="1" cm="1">
        <f t="array" ref="L11">_xlfn.SWITCH($A$2,"average", AVERAGE(Instances!L11:Instances!L11),"median", MEDIAN(Instances!L11:Instances!L11),"min", MIN(Instances!L11:Instances!L11),"max", MAX(Instances!L11:Instances!L11),"diff", MAX(Instances!L11:Instances!L11)-MIN(Instances!L11:Instances!L11))</f>
        <v>0</v>
      </c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 cm="1">
        <f t="array" ref="N11">_xlfn.SWITCH($A$2,"average", AVERAGE(Instances!N11:Instances!N11),"median", MEDIAN(Instances!N11:Instances!N11),"min", MIN(Instances!N11:Instances!N11),"max", MAX(Instances!N11:Instances!N11),"diff", MAX(Instances!N11:Instances!N11)-MIN(Instances!N11:Instances!N11))</f>
        <v>0</v>
      </c>
      <c r="O11" s="1" cm="1">
        <f t="array" ref="O11">_xlfn.SWITCH($A$2,"average", AVERAGE(Instances!O11:Instances!O11),"median", MEDIAN(Instances!O11:Instances!O11),"min", MIN(Instances!O11:Instances!O11),"max", MAX(Instances!O11:Instances!O11),"diff", MAX(Instances!O11:Instances!O11)-MIN(Instances!O11:Instances!O11))</f>
        <v>0</v>
      </c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/>
      <c r="S11" s="1" cm="1">
        <f t="array" ref="S11">_xlfn.SWITCH($A$2,"average", AVERAGE(Instances!S11:Instances!S11),"median", MEDIAN(Instances!S11:Instances!S11),"min", MIN(Instances!S11:Instances!S11),"max", MAX(Instances!S11:Instances!S11),"diff", MAX(Instances!S11:Instances!S11)-MIN(Instances!S11:Instances!S11))</f>
        <v>0</v>
      </c>
      <c r="T11" s="1" cm="1">
        <f t="array" ref="T11">_xlfn.SWITCH($A$2,"average", AVERAGE(Instances!T11:Instances!T11),"median", MEDIAN(Instances!T11:Instances!T11),"min", MIN(Instances!T11:Instances!T11),"max", MAX(Instances!T11:Instances!T11),"diff", MAX(Instances!T11:Instances!T11)-MIN(Instances!T11:Instances!T11))</f>
        <v>0</v>
      </c>
      <c r="U11" s="1" cm="1">
        <f t="array" ref="U11">_xlfn.SWITCH($A$2,"average", AVERAGE(Instances!U11:Instances!U11),"median", MEDIAN(Instances!U11:Instances!U11),"min", MIN(Instances!U11:Instances!U11),"max", MAX(Instances!U11:Instances!U11),"diff", MAX(Instances!U11:Instances!U11)-MIN(Instances!U11:Instances!U11))</f>
        <v>0</v>
      </c>
      <c r="V11" s="1" cm="1">
        <f t="array" ref="V11">_xlfn.SWITCH($A$2,"average", AVERAGE(Instances!V11:Instances!V11),"median", MEDIAN(Instances!V11:Instances!V11),"min", MIN(Instances!V11:Instances!V11),"max", MAX(Instances!V11:Instances!V11),"diff", MAX(Instances!V11:Instances!V11)-MIN(Instances!V11:Instances!V11))</f>
        <v>0</v>
      </c>
      <c r="W11" s="1">
        <f>MIN($B11,$I11,$P11)</f>
        <v>0</v>
      </c>
      <c r="X11" s="1">
        <f>MIN($C11,$J11,$Q11)</f>
        <v>0</v>
      </c>
      <c r="Y11" s="1">
        <f>MIN($E11,$L11,$S11)</f>
        <v>0</v>
      </c>
      <c r="Z11" s="1">
        <f>MIN($F11,$M11,$T11)</f>
        <v>0</v>
      </c>
      <c r="AA11" s="1">
        <f>MIN($G11,$N11,$U11)</f>
        <v>0</v>
      </c>
      <c r="AB11" s="1">
        <f>MIN($H11,$O11,$V11)</f>
        <v>0</v>
      </c>
      <c r="AC11" s="1">
        <f>MEDIAN($B11,$I11,$P11)</f>
        <v>0</v>
      </c>
      <c r="AD11" s="1">
        <f>MEDIAN($C11,$J11,$Q11)</f>
        <v>0</v>
      </c>
      <c r="AE11" s="1">
        <f>MEDIAN($E11,$L11,$S11)</f>
        <v>0</v>
      </c>
      <c r="AF11" s="1">
        <f>MEDIAN($F11,$M11,$T11)</f>
        <v>0</v>
      </c>
      <c r="AG11" s="1">
        <f>MEDIAN($G11,$N11,$U11)</f>
        <v>0</v>
      </c>
      <c r="AH11" s="1">
        <f>MEDIAN($H11,$O11,$V11)</f>
        <v>0</v>
      </c>
      <c r="AI11" s="1">
        <f>MAX($B11,$I11,$P11)</f>
        <v>0</v>
      </c>
      <c r="AJ11" s="1">
        <f>MAX($C11,$J11,$Q11)</f>
        <v>0</v>
      </c>
      <c r="AK11" s="1">
        <f>MAX($E11,$L11,$S11)</f>
        <v>0</v>
      </c>
      <c r="AL11" s="1">
        <f>MAX($F11,$M11,$T11)</f>
        <v>0</v>
      </c>
      <c r="AM11" s="1">
        <f>MAX($G11,$N11,$U11)</f>
        <v>0</v>
      </c>
      <c r="AN11" s="1">
        <f>MAX($H11,$O11,$V11)</f>
        <v>0</v>
      </c>
    </row>
    <row r="12" spans="1:40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/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/>
      <c r="L12" s="1" cm="1">
        <f t="array" ref="L12">_xlfn.SWITCH($A$2,"average", AVERAGE(Instances!L12:Instances!L12),"median", MEDIAN(Instances!L12:Instances!L12),"min", MIN(Instances!L12:Instances!L12),"max", MAX(Instances!L12:Instances!L12),"diff", MAX(Instances!L12:Instances!L12)-MIN(Instances!L12:Instances!L12))</f>
        <v>0</v>
      </c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 cm="1">
        <f t="array" ref="N12">_xlfn.SWITCH($A$2,"average", AVERAGE(Instances!N12:Instances!N12),"median", MEDIAN(Instances!N12:Instances!N12),"min", MIN(Instances!N12:Instances!N12),"max", MAX(Instances!N12:Instances!N12),"diff", MAX(Instances!N12:Instances!N12)-MIN(Instances!N12:Instances!N12))</f>
        <v>0</v>
      </c>
      <c r="O12" s="1" cm="1">
        <f t="array" ref="O12">_xlfn.SWITCH($A$2,"average", AVERAGE(Instances!O12:Instances!O12),"median", MEDIAN(Instances!O12:Instances!O12),"min", MIN(Instances!O12:Instances!O12),"max", MAX(Instances!O12:Instances!O12),"diff", MAX(Instances!O12:Instances!O12)-MIN(Instances!O12:Instances!O12))</f>
        <v>0</v>
      </c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/>
      <c r="S12" s="1" cm="1">
        <f t="array" ref="S12">_xlfn.SWITCH($A$2,"average", AVERAGE(Instances!S12:Instances!S12),"median", MEDIAN(Instances!S12:Instances!S12),"min", MIN(Instances!S12:Instances!S12),"max", MAX(Instances!S12:Instances!S12),"diff", MAX(Instances!S12:Instances!S12)-MIN(Instances!S12:Instances!S12))</f>
        <v>0</v>
      </c>
      <c r="T12" s="1" cm="1">
        <f t="array" ref="T12">_xlfn.SWITCH($A$2,"average", AVERAGE(Instances!T12:Instances!T12),"median", MEDIAN(Instances!T12:Instances!T12),"min", MIN(Instances!T12:Instances!T12),"max", MAX(Instances!T12:Instances!T12),"diff", MAX(Instances!T12:Instances!T12)-MIN(Instances!T12:Instances!T12))</f>
        <v>0</v>
      </c>
      <c r="U12" s="1" cm="1">
        <f t="array" ref="U12">_xlfn.SWITCH($A$2,"average", AVERAGE(Instances!U12:Instances!U12),"median", MEDIAN(Instances!U12:Instances!U12),"min", MIN(Instances!U12:Instances!U12),"max", MAX(Instances!U12:Instances!U12),"diff", MAX(Instances!U12:Instances!U12)-MIN(Instances!U12:Instances!U12))</f>
        <v>0</v>
      </c>
      <c r="V12" s="1" cm="1">
        <f t="array" ref="V12">_xlfn.SWITCH($A$2,"average", AVERAGE(Instances!V12:Instances!V12),"median", MEDIAN(Instances!V12:Instances!V12),"min", MIN(Instances!V12:Instances!V12),"max", MAX(Instances!V12:Instances!V12),"diff", MAX(Instances!V12:Instances!V12)-MIN(Instances!V12:Instances!V12))</f>
        <v>0</v>
      </c>
      <c r="W12" s="1">
        <f>MIN($B12,$I12,$P12)</f>
        <v>0</v>
      </c>
      <c r="X12" s="1">
        <f>MIN($C12,$J12,$Q12)</f>
        <v>0</v>
      </c>
      <c r="Y12" s="1">
        <f>MIN($E12,$L12,$S12)</f>
        <v>0</v>
      </c>
      <c r="Z12" s="1">
        <f>MIN($F12,$M12,$T12)</f>
        <v>0</v>
      </c>
      <c r="AA12" s="1">
        <f>MIN($G12,$N12,$U12)</f>
        <v>0</v>
      </c>
      <c r="AB12" s="1">
        <f>MIN($H12,$O12,$V12)</f>
        <v>0</v>
      </c>
      <c r="AC12" s="1">
        <f>MEDIAN($B12,$I12,$P12)</f>
        <v>0</v>
      </c>
      <c r="AD12" s="1">
        <f>MEDIAN($C12,$J12,$Q12)</f>
        <v>0</v>
      </c>
      <c r="AE12" s="1">
        <f>MEDIAN($E12,$L12,$S12)</f>
        <v>0</v>
      </c>
      <c r="AF12" s="1">
        <f>MEDIAN($F12,$M12,$T12)</f>
        <v>0</v>
      </c>
      <c r="AG12" s="1">
        <f>MEDIAN($G12,$N12,$U12)</f>
        <v>0</v>
      </c>
      <c r="AH12" s="1">
        <f>MEDIAN($H12,$O12,$V12)</f>
        <v>0</v>
      </c>
      <c r="AI12" s="1">
        <f>MAX($B12,$I12,$P12)</f>
        <v>0</v>
      </c>
      <c r="AJ12" s="1">
        <f>MAX($C12,$J12,$Q12)</f>
        <v>0</v>
      </c>
      <c r="AK12" s="1">
        <f>MAX($E12,$L12,$S12)</f>
        <v>0</v>
      </c>
      <c r="AL12" s="1">
        <f>MAX($F12,$M12,$T12)</f>
        <v>0</v>
      </c>
      <c r="AM12" s="1">
        <f>MAX($G12,$N12,$U12)</f>
        <v>0</v>
      </c>
      <c r="AN12" s="1">
        <f>MAX($H12,$O12,$V12)</f>
        <v>0</v>
      </c>
    </row>
    <row r="13" spans="1:40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>
      <c r="A14" s="1" t="s">
        <v>10</v>
      </c>
      <c r="B14" s="1">
        <f>SUM(B$3:B$12)</f>
        <v>0</v>
      </c>
      <c r="C14" s="1">
        <f>SUM(C$3:C$12)</f>
        <v>0</v>
      </c>
      <c r="D14" s="1"/>
      <c r="E14" s="1">
        <f>SUM(E$3:E$12)</f>
        <v>0</v>
      </c>
      <c r="F14" s="1">
        <f>SUM(F$3:F$12)</f>
        <v>0</v>
      </c>
      <c r="G14" s="1">
        <f>SUM(G$3:G$12)</f>
        <v>0</v>
      </c>
      <c r="H14" s="1">
        <f>SUM(H$3:H$12)</f>
        <v>0</v>
      </c>
      <c r="I14" s="1">
        <f>SUM(I$3:I$12)</f>
        <v>0</v>
      </c>
      <c r="J14" s="1">
        <f>SUM(J$3:J$12)</f>
        <v>0</v>
      </c>
      <c r="K14" s="1"/>
      <c r="L14" s="1">
        <f>SUM(L$3:L$12)</f>
        <v>0</v>
      </c>
      <c r="M14" s="1">
        <f>SUM(M$3:M$12)</f>
        <v>0</v>
      </c>
      <c r="N14" s="1">
        <f>SUM(N$3:N$12)</f>
        <v>0</v>
      </c>
      <c r="O14" s="1">
        <f>SUM(O$3:O$12)</f>
        <v>0</v>
      </c>
      <c r="P14" s="1">
        <f>SUM(P$3:P$12)</f>
        <v>0</v>
      </c>
      <c r="Q14" s="1">
        <f>SUM(Q$3:Q$12)</f>
        <v>0</v>
      </c>
      <c r="R14" s="1"/>
      <c r="S14" s="1">
        <f>SUM(S$3:S$12)</f>
        <v>0</v>
      </c>
      <c r="T14" s="1">
        <f>SUM(T$3:T$12)</f>
        <v>0</v>
      </c>
      <c r="U14" s="1">
        <f>SUM(U$3:U$12)</f>
        <v>0</v>
      </c>
      <c r="V14" s="1">
        <f>SUM(V$3:V$12)</f>
        <v>0</v>
      </c>
      <c r="W14" s="1">
        <f>SUM(W$3:W$12)</f>
        <v>0</v>
      </c>
      <c r="X14" s="1">
        <f>SUM(X$3:X$12)</f>
        <v>0</v>
      </c>
      <c r="Y14" s="1">
        <f>SUM(Y$3:Y$12)</f>
        <v>0</v>
      </c>
      <c r="Z14" s="1">
        <f>SUM(Z$3:Z$12)</f>
        <v>0</v>
      </c>
      <c r="AA14" s="1">
        <f>SUM(AA$3:AA$12)</f>
        <v>0</v>
      </c>
      <c r="AB14" s="1">
        <f>SUM(AB$3:AB$12)</f>
        <v>0</v>
      </c>
      <c r="AC14" s="1">
        <f>SUM(AC$3:AC$12)</f>
        <v>0</v>
      </c>
      <c r="AD14" s="1">
        <f>SUM(AD$3:AD$12)</f>
        <v>0</v>
      </c>
      <c r="AE14" s="1">
        <f>SUM(AE$3:AE$12)</f>
        <v>0</v>
      </c>
      <c r="AF14" s="1">
        <f>SUM(AF$3:AF$12)</f>
        <v>0</v>
      </c>
      <c r="AG14" s="1">
        <f>SUM(AG$3:AG$12)</f>
        <v>0</v>
      </c>
      <c r="AH14" s="1">
        <f>SUM(AH$3:AH$12)</f>
        <v>0</v>
      </c>
      <c r="AI14" s="1">
        <f>SUM(AI$3:AI$12)</f>
        <v>0</v>
      </c>
      <c r="AJ14" s="1">
        <f>SUM(AJ$3:AJ$12)</f>
        <v>0</v>
      </c>
      <c r="AK14" s="1">
        <f>SUM(AK$3:AK$12)</f>
        <v>0</v>
      </c>
      <c r="AL14" s="1">
        <f>SUM(AL$3:AL$12)</f>
        <v>0</v>
      </c>
      <c r="AM14" s="1">
        <f>SUM(AM$3:AM$12)</f>
        <v>0</v>
      </c>
      <c r="AN14" s="1">
        <f>SUM(AN$3:AN$12)</f>
        <v>0</v>
      </c>
    </row>
    <row r="15" spans="1:40">
      <c r="A15" s="1" t="s">
        <v>11</v>
      </c>
      <c r="B15" s="1">
        <f>AVERAGE(B$3:B$12)</f>
        <v>0</v>
      </c>
      <c r="C15" s="1">
        <f>AVERAGE(C$3:C$12)</f>
        <v>0</v>
      </c>
      <c r="D15" s="1"/>
      <c r="E15" s="1">
        <f>AVERAGE(E$3:E$12)</f>
        <v>0</v>
      </c>
      <c r="F15" s="1">
        <f>AVERAGE(F$3:F$12)</f>
        <v>0</v>
      </c>
      <c r="G15" s="1">
        <f>AVERAGE(G$3:G$12)</f>
        <v>0</v>
      </c>
      <c r="H15" s="1">
        <f>AVERAGE(H$3:H$12)</f>
        <v>0</v>
      </c>
      <c r="I15" s="1">
        <f>AVERAGE(I$3:I$12)</f>
        <v>0</v>
      </c>
      <c r="J15" s="1">
        <f>AVERAGE(J$3:J$12)</f>
        <v>0</v>
      </c>
      <c r="K15" s="1"/>
      <c r="L15" s="1">
        <f>AVERAGE(L$3:L$12)</f>
        <v>0</v>
      </c>
      <c r="M15" s="1">
        <f>AVERAGE(M$3:M$12)</f>
        <v>0</v>
      </c>
      <c r="N15" s="1">
        <f>AVERAGE(N$3:N$12)</f>
        <v>0</v>
      </c>
      <c r="O15" s="1">
        <f>AVERAGE(O$3:O$12)</f>
        <v>0</v>
      </c>
      <c r="P15" s="1">
        <f>AVERAGE(P$3:P$12)</f>
        <v>0</v>
      </c>
      <c r="Q15" s="1">
        <f>AVERAGE(Q$3:Q$12)</f>
        <v>0</v>
      </c>
      <c r="R15" s="1"/>
      <c r="S15" s="1">
        <f>AVERAGE(S$3:S$12)</f>
        <v>0</v>
      </c>
      <c r="T15" s="1">
        <f>AVERAGE(T$3:T$12)</f>
        <v>0</v>
      </c>
      <c r="U15" s="1">
        <f>AVERAGE(U$3:U$12)</f>
        <v>0</v>
      </c>
      <c r="V15" s="1">
        <f>AVERAGE(V$3:V$12)</f>
        <v>0</v>
      </c>
      <c r="W15" s="1">
        <f>AVERAGE(W$3:W$12)</f>
        <v>0</v>
      </c>
      <c r="X15" s="1">
        <f>AVERAGE(X$3:X$12)</f>
        <v>0</v>
      </c>
      <c r="Y15" s="1">
        <f>AVERAGE(Y$3:Y$12)</f>
        <v>0</v>
      </c>
      <c r="Z15" s="1">
        <f>AVERAGE(Z$3:Z$12)</f>
        <v>0</v>
      </c>
      <c r="AA15" s="1">
        <f>AVERAGE(AA$3:AA$12)</f>
        <v>0</v>
      </c>
      <c r="AB15" s="1">
        <f>AVERAGE(AB$3:AB$12)</f>
        <v>0</v>
      </c>
      <c r="AC15" s="1">
        <f>AVERAGE(AC$3:AC$12)</f>
        <v>0</v>
      </c>
      <c r="AD15" s="1">
        <f>AVERAGE(AD$3:AD$12)</f>
        <v>0</v>
      </c>
      <c r="AE15" s="1">
        <f>AVERAGE(AE$3:AE$12)</f>
        <v>0</v>
      </c>
      <c r="AF15" s="1">
        <f>AVERAGE(AF$3:AF$12)</f>
        <v>0</v>
      </c>
      <c r="AG15" s="1">
        <f>AVERAGE(AG$3:AG$12)</f>
        <v>0</v>
      </c>
      <c r="AH15" s="1">
        <f>AVERAGE(AH$3:AH$12)</f>
        <v>0</v>
      </c>
      <c r="AI15" s="1">
        <f>AVERAGE(AI$3:AI$12)</f>
        <v>0</v>
      </c>
      <c r="AJ15" s="1">
        <f>AVERAGE(AJ$3:AJ$12)</f>
        <v>0</v>
      </c>
      <c r="AK15" s="1">
        <f>AVERAGE(AK$3:AK$12)</f>
        <v>0</v>
      </c>
      <c r="AL15" s="1">
        <f>AVERAGE(AL$3:AL$12)</f>
        <v>0</v>
      </c>
      <c r="AM15" s="1">
        <f>AVERAGE(AM$3:AM$12)</f>
        <v>0</v>
      </c>
      <c r="AN15" s="1">
        <f>AVERAGE(AN$3:AN$12)</f>
        <v>0</v>
      </c>
    </row>
    <row r="16" spans="1:40">
      <c r="A16" s="1" t="s">
        <v>12</v>
      </c>
      <c r="B16" s="1">
        <f>STDEV(B$3:B$12)</f>
        <v>0</v>
      </c>
      <c r="C16" s="1">
        <f>STDEV(C$3:C$12)</f>
        <v>0</v>
      </c>
      <c r="D16" s="1"/>
      <c r="E16" s="1">
        <f>STDEV(E$3:E$12)</f>
        <v>0</v>
      </c>
      <c r="F16" s="1">
        <f>STDEV(F$3:F$12)</f>
        <v>0</v>
      </c>
      <c r="G16" s="1">
        <f>STDEV(G$3:G$12)</f>
        <v>0</v>
      </c>
      <c r="H16" s="1">
        <f>STDEV(H$3:H$12)</f>
        <v>0</v>
      </c>
      <c r="I16" s="1">
        <f>STDEV(I$3:I$12)</f>
        <v>0</v>
      </c>
      <c r="J16" s="1">
        <f>STDEV(J$3:J$12)</f>
        <v>0</v>
      </c>
      <c r="K16" s="1"/>
      <c r="L16" s="1">
        <f>STDEV(L$3:L$12)</f>
        <v>0</v>
      </c>
      <c r="M16" s="1">
        <f>STDEV(M$3:M$12)</f>
        <v>0</v>
      </c>
      <c r="N16" s="1">
        <f>STDEV(N$3:N$12)</f>
        <v>0</v>
      </c>
      <c r="O16" s="1">
        <f>STDEV(O$3:O$12)</f>
        <v>0</v>
      </c>
      <c r="P16" s="1">
        <f>STDEV(P$3:P$12)</f>
        <v>0</v>
      </c>
      <c r="Q16" s="1">
        <f>STDEV(Q$3:Q$12)</f>
        <v>0</v>
      </c>
      <c r="R16" s="1"/>
      <c r="S16" s="1">
        <f>STDEV(S$3:S$12)</f>
        <v>0</v>
      </c>
      <c r="T16" s="1">
        <f>STDEV(T$3:T$12)</f>
        <v>0</v>
      </c>
      <c r="U16" s="1">
        <f>STDEV(U$3:U$12)</f>
        <v>0</v>
      </c>
      <c r="V16" s="1">
        <f>STDEV(V$3:V$12)</f>
        <v>0</v>
      </c>
      <c r="W16" s="1">
        <f>STDEV(W$3:W$12)</f>
        <v>0</v>
      </c>
      <c r="X16" s="1">
        <f>STDEV(X$3:X$12)</f>
        <v>0</v>
      </c>
      <c r="Y16" s="1">
        <f>STDEV(Y$3:Y$12)</f>
        <v>0</v>
      </c>
      <c r="Z16" s="1">
        <f>STDEV(Z$3:Z$12)</f>
        <v>0</v>
      </c>
      <c r="AA16" s="1">
        <f>STDEV(AA$3:AA$12)</f>
        <v>0</v>
      </c>
      <c r="AB16" s="1">
        <f>STDEV(AB$3:AB$12)</f>
        <v>0</v>
      </c>
      <c r="AC16" s="1">
        <f>STDEV(AC$3:AC$12)</f>
        <v>0</v>
      </c>
      <c r="AD16" s="1">
        <f>STDEV(AD$3:AD$12)</f>
        <v>0</v>
      </c>
      <c r="AE16" s="1">
        <f>STDEV(AE$3:AE$12)</f>
        <v>0</v>
      </c>
      <c r="AF16" s="1">
        <f>STDEV(AF$3:AF$12)</f>
        <v>0</v>
      </c>
      <c r="AG16" s="1">
        <f>STDEV(AG$3:AG$12)</f>
        <v>0</v>
      </c>
      <c r="AH16" s="1">
        <f>STDEV(AH$3:AH$12)</f>
        <v>0</v>
      </c>
      <c r="AI16" s="1">
        <f>STDEV(AI$3:AI$12)</f>
        <v>0</v>
      </c>
      <c r="AJ16" s="1">
        <f>STDEV(AJ$3:AJ$12)</f>
        <v>0</v>
      </c>
      <c r="AK16" s="1">
        <f>STDEV(AK$3:AK$12)</f>
        <v>0</v>
      </c>
      <c r="AL16" s="1">
        <f>STDEV(AL$3:AL$12)</f>
        <v>0</v>
      </c>
      <c r="AM16" s="1">
        <f>STDEV(AM$3:AM$12)</f>
        <v>0</v>
      </c>
      <c r="AN16" s="1">
        <f>STDEV(AN$3:AN$12)</f>
        <v>0</v>
      </c>
    </row>
    <row r="17" spans="1:40">
      <c r="A17" s="1" t="s">
        <v>13</v>
      </c>
      <c r="B17" s="1">
        <f>SUMPRODUCT(--(B$3:B$12-$W$3:$W$12)^2)^0.5</f>
        <v>0</v>
      </c>
      <c r="C17" s="1">
        <f>SUMPRODUCT(--(C$3:C$12-$X$3:$X$12)^2)^0.5</f>
        <v>0</v>
      </c>
      <c r="D17" s="1"/>
      <c r="E17" s="1">
        <f>SUMPRODUCT(--(E$3:E$12-$Y$3:$Y$12)^2)^0.5</f>
        <v>0</v>
      </c>
      <c r="F17" s="1">
        <f>SUMPRODUCT(--(F$3:F$12-$Z$3:$Z$12)^2)^0.5</f>
        <v>0</v>
      </c>
      <c r="G17" s="1">
        <f>SUMPRODUCT(--(G$3:G$12-$AA$3:$AA$12)^2)^0.5</f>
        <v>0</v>
      </c>
      <c r="H17" s="1">
        <f>SUMPRODUCT(--(H$3:H$12-$AB$3:$AB$12)^2)^0.5</f>
        <v>0</v>
      </c>
      <c r="I17" s="1">
        <f>SUMPRODUCT(--(I$3:I$12-$W$3:$W$12)^2)^0.5</f>
        <v>0</v>
      </c>
      <c r="J17" s="1">
        <f>SUMPRODUCT(--(J$3:J$12-$X$3:$X$12)^2)^0.5</f>
        <v>0</v>
      </c>
      <c r="K17" s="1"/>
      <c r="L17" s="1">
        <f>SUMPRODUCT(--(L$3:L$12-$Y$3:$Y$12)^2)^0.5</f>
        <v>0</v>
      </c>
      <c r="M17" s="1">
        <f>SUMPRODUCT(--(M$3:M$12-$Z$3:$Z$12)^2)^0.5</f>
        <v>0</v>
      </c>
      <c r="N17" s="1">
        <f>SUMPRODUCT(--(N$3:N$12-$AA$3:$AA$12)^2)^0.5</f>
        <v>0</v>
      </c>
      <c r="O17" s="1">
        <f>SUMPRODUCT(--(O$3:O$12-$AB$3:$AB$12)^2)^0.5</f>
        <v>0</v>
      </c>
      <c r="P17" s="1">
        <f>SUMPRODUCT(--(P$3:P$12-$W$3:$W$12)^2)^0.5</f>
        <v>0</v>
      </c>
      <c r="Q17" s="1">
        <f>SUMPRODUCT(--(Q$3:Q$12-$X$3:$X$12)^2)^0.5</f>
        <v>0</v>
      </c>
      <c r="R17" s="1"/>
      <c r="S17" s="1">
        <f>SUMPRODUCT(--(S$3:S$12-$Y$3:$Y$12)^2)^0.5</f>
        <v>0</v>
      </c>
      <c r="T17" s="1">
        <f>SUMPRODUCT(--(T$3:T$12-$Z$3:$Z$12)^2)^0.5</f>
        <v>0</v>
      </c>
      <c r="U17" s="1">
        <f>SUMPRODUCT(--(U$3:U$12-$AA$3:$AA$12)^2)^0.5</f>
        <v>0</v>
      </c>
      <c r="V17" s="1">
        <f>SUMPRODUCT(--(V$3:V$12-$AB$3:$AB$12)^2)^0.5</f>
        <v>0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>
      <c r="A18" s="1" t="s">
        <v>14</v>
      </c>
      <c r="B18" s="1">
        <f>SUMPRODUCT(NOT(ISBLANK(B$3:B$12))*(B$3:B$12=$W$3:$W$12))</f>
        <v>0</v>
      </c>
      <c r="C18" s="1">
        <f>SUMPRODUCT(NOT(ISBLANK(C$3:C$12))*(C$3:C$12=$X$3:$X$12))</f>
        <v>0</v>
      </c>
      <c r="D18" s="1"/>
      <c r="E18" s="1">
        <f>SUMPRODUCT(NOT(ISBLANK(E$3:E$12))*(E$3:E$12=$Y$3:$Y$12))</f>
        <v>0</v>
      </c>
      <c r="F18" s="1">
        <f>SUMPRODUCT(NOT(ISBLANK(F$3:F$12))*(F$3:F$12=$Z$3:$Z$12))</f>
        <v>0</v>
      </c>
      <c r="G18" s="1">
        <f>SUMPRODUCT(NOT(ISBLANK(G$3:G$12))*(G$3:G$12=$AA$3:$AA$12))</f>
        <v>0</v>
      </c>
      <c r="H18" s="1">
        <f>SUMPRODUCT(NOT(ISBLANK(H$3:H$12))*(H$3:H$12=$AB$3:$AB$12))</f>
        <v>0</v>
      </c>
      <c r="I18" s="1">
        <f>SUMPRODUCT(NOT(ISBLANK(I$3:I$12))*(I$3:I$12=$W$3:$W$12))</f>
        <v>0</v>
      </c>
      <c r="J18" s="1">
        <f>SUMPRODUCT(NOT(ISBLANK(J$3:J$12))*(J$3:J$12=$X$3:$X$12))</f>
        <v>0</v>
      </c>
      <c r="K18" s="1"/>
      <c r="L18" s="1">
        <f>SUMPRODUCT(NOT(ISBLANK(L$3:L$12))*(L$3:L$12=$Y$3:$Y$12))</f>
        <v>0</v>
      </c>
      <c r="M18" s="1">
        <f>SUMPRODUCT(NOT(ISBLANK(M$3:M$12))*(M$3:M$12=$Z$3:$Z$12))</f>
        <v>0</v>
      </c>
      <c r="N18" s="1">
        <f>SUMPRODUCT(NOT(ISBLANK(N$3:N$12))*(N$3:N$12=$AA$3:$AA$12))</f>
        <v>0</v>
      </c>
      <c r="O18" s="1">
        <f>SUMPRODUCT(NOT(ISBLANK(O$3:O$12))*(O$3:O$12=$AB$3:$AB$12))</f>
        <v>0</v>
      </c>
      <c r="P18" s="1">
        <f>SUMPRODUCT(NOT(ISBLANK(P$3:P$12))*(P$3:P$12=$W$3:$W$12))</f>
        <v>0</v>
      </c>
      <c r="Q18" s="1">
        <f>SUMPRODUCT(NOT(ISBLANK(Q$3:Q$12))*(Q$3:Q$12=$X$3:$X$12))</f>
        <v>0</v>
      </c>
      <c r="R18" s="1"/>
      <c r="S18" s="1">
        <f>SUMPRODUCT(NOT(ISBLANK(S$3:S$12))*(S$3:S$12=$Y$3:$Y$12))</f>
        <v>0</v>
      </c>
      <c r="T18" s="1">
        <f>SUMPRODUCT(NOT(ISBLANK(T$3:T$12))*(T$3:T$12=$Z$3:$Z$12))</f>
        <v>0</v>
      </c>
      <c r="U18" s="1">
        <f>SUMPRODUCT(NOT(ISBLANK(U$3:U$12))*(U$3:U$12=$AA$3:$AA$12))</f>
        <v>0</v>
      </c>
      <c r="V18" s="1">
        <f>SUMPRODUCT(NOT(ISBLANK(V$3:V$12))*(V$3:V$12=$AB$3:$AB$12))</f>
        <v>0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>
      <c r="A19" s="1" t="s">
        <v>15</v>
      </c>
      <c r="B19" s="1">
        <f>SUMPRODUCT(NOT(ISBLANK(B$3:B$12))*(B$3:B$12&lt;$AC$3:$AC$12))</f>
        <v>0</v>
      </c>
      <c r="C19" s="1">
        <f>SUMPRODUCT(NOT(ISBLANK(C$3:C$12))*(C$3:C$12&lt;$AD$3:$AD$12))</f>
        <v>0</v>
      </c>
      <c r="D19" s="1"/>
      <c r="E19" s="1">
        <f>SUMPRODUCT(NOT(ISBLANK(E$3:E$12))*(E$3:E$12&lt;$AE$3:$AE$12))</f>
        <v>0</v>
      </c>
      <c r="F19" s="1">
        <f>SUMPRODUCT(NOT(ISBLANK(F$3:F$12))*(F$3:F$12&lt;$AF$3:$AF$12))</f>
        <v>0</v>
      </c>
      <c r="G19" s="1">
        <f>SUMPRODUCT(NOT(ISBLANK(G$3:G$12))*(G$3:G$12&lt;$AG$3:$AG$12))</f>
        <v>0</v>
      </c>
      <c r="H19" s="1">
        <f>SUMPRODUCT(NOT(ISBLANK(H$3:H$12))*(H$3:H$12&lt;$AH$3:$AH$12))</f>
        <v>0</v>
      </c>
      <c r="I19" s="1">
        <f>SUMPRODUCT(NOT(ISBLANK(I$3:I$12))*(I$3:I$12&lt;$AC$3:$AC$12))</f>
        <v>0</v>
      </c>
      <c r="J19" s="1">
        <f>SUMPRODUCT(NOT(ISBLANK(J$3:J$12))*(J$3:J$12&lt;$AD$3:$AD$12))</f>
        <v>0</v>
      </c>
      <c r="K19" s="1"/>
      <c r="L19" s="1">
        <f>SUMPRODUCT(NOT(ISBLANK(L$3:L$12))*(L$3:L$12&lt;$AE$3:$AE$12))</f>
        <v>0</v>
      </c>
      <c r="M19" s="1">
        <f>SUMPRODUCT(NOT(ISBLANK(M$3:M$12))*(M$3:M$12&lt;$AF$3:$AF$12))</f>
        <v>0</v>
      </c>
      <c r="N19" s="1">
        <f>SUMPRODUCT(NOT(ISBLANK(N$3:N$12))*(N$3:N$12&lt;$AG$3:$AG$12))</f>
        <v>0</v>
      </c>
      <c r="O19" s="1">
        <f>SUMPRODUCT(NOT(ISBLANK(O$3:O$12))*(O$3:O$12&lt;$AH$3:$AH$12))</f>
        <v>0</v>
      </c>
      <c r="P19" s="1">
        <f>SUMPRODUCT(NOT(ISBLANK(P$3:P$12))*(P$3:P$12&lt;$AC$3:$AC$12))</f>
        <v>0</v>
      </c>
      <c r="Q19" s="1">
        <f>SUMPRODUCT(NOT(ISBLANK(Q$3:Q$12))*(Q$3:Q$12&lt;$AD$3:$AD$12))</f>
        <v>0</v>
      </c>
      <c r="R19" s="1"/>
      <c r="S19" s="1">
        <f>SUMPRODUCT(NOT(ISBLANK(S$3:S$12))*(S$3:S$12&lt;$AE$3:$AE$12))</f>
        <v>0</v>
      </c>
      <c r="T19" s="1">
        <f>SUMPRODUCT(NOT(ISBLANK(T$3:T$12))*(T$3:T$12&lt;$AF$3:$AF$12))</f>
        <v>0</v>
      </c>
      <c r="U19" s="1">
        <f>SUMPRODUCT(NOT(ISBLANK(U$3:U$12))*(U$3:U$12&lt;$AG$3:$AG$12))</f>
        <v>0</v>
      </c>
      <c r="V19" s="1">
        <f>SUMPRODUCT(NOT(ISBLANK(V$3:V$12))*(V$3:V$12&lt;$AH$3:$AH$12))</f>
        <v>0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>
      <c r="A20" s="1" t="s">
        <v>16</v>
      </c>
      <c r="B20" s="1">
        <f>SUMPRODUCT((NOT(ISBLANK(B$3:B$12))*(B$3:B$12&gt;$AC$3:$AC$12))+ISBLANK(B$3:B$12))</f>
        <v>0</v>
      </c>
      <c r="C20" s="1">
        <f>SUMPRODUCT((NOT(ISBLANK(C$3:C$12))*(C$3:C$12&gt;$AD$3:$AD$12))+ISBLANK(C$3:C$12))</f>
        <v>0</v>
      </c>
      <c r="D20" s="1"/>
      <c r="E20" s="1">
        <f>SUMPRODUCT((NOT(ISBLANK(E$3:E$12))*(E$3:E$12&gt;$AE$3:$AE$12))+ISBLANK(E$3:E$12))</f>
        <v>0</v>
      </c>
      <c r="F20" s="1">
        <f>SUMPRODUCT((NOT(ISBLANK(F$3:F$12))*(F$3:F$12&gt;$AF$3:$AF$12))+ISBLANK(F$3:F$12))</f>
        <v>0</v>
      </c>
      <c r="G20" s="1">
        <f>SUMPRODUCT((NOT(ISBLANK(G$3:G$12))*(G$3:G$12&gt;$AG$3:$AG$12))+ISBLANK(G$3:G$12))</f>
        <v>0</v>
      </c>
      <c r="H20" s="1">
        <f>SUMPRODUCT((NOT(ISBLANK(H$3:H$12))*(H$3:H$12&gt;$AH$3:$AH$12))+ISBLANK(H$3:H$12))</f>
        <v>0</v>
      </c>
      <c r="I20" s="1">
        <f>SUMPRODUCT((NOT(ISBLANK(I$3:I$12))*(I$3:I$12&gt;$AC$3:$AC$12))+ISBLANK(I$3:I$12))</f>
        <v>0</v>
      </c>
      <c r="J20" s="1">
        <f>SUMPRODUCT((NOT(ISBLANK(J$3:J$12))*(J$3:J$12&gt;$AD$3:$AD$12))+ISBLANK(J$3:J$12))</f>
        <v>0</v>
      </c>
      <c r="K20" s="1"/>
      <c r="L20" s="1">
        <f>SUMPRODUCT((NOT(ISBLANK(L$3:L$12))*(L$3:L$12&gt;$AE$3:$AE$12))+ISBLANK(L$3:L$12))</f>
        <v>0</v>
      </c>
      <c r="M20" s="1">
        <f>SUMPRODUCT((NOT(ISBLANK(M$3:M$12))*(M$3:M$12&gt;$AF$3:$AF$12))+ISBLANK(M$3:M$12))</f>
        <v>0</v>
      </c>
      <c r="N20" s="1">
        <f>SUMPRODUCT((NOT(ISBLANK(N$3:N$12))*(N$3:N$12&gt;$AG$3:$AG$12))+ISBLANK(N$3:N$12))</f>
        <v>0</v>
      </c>
      <c r="O20" s="1">
        <f>SUMPRODUCT((NOT(ISBLANK(O$3:O$12))*(O$3:O$12&gt;$AH$3:$AH$12))+ISBLANK(O$3:O$12))</f>
        <v>0</v>
      </c>
      <c r="P20" s="1">
        <f>SUMPRODUCT((NOT(ISBLANK(P$3:P$12))*(P$3:P$12&gt;$AC$3:$AC$12))+ISBLANK(P$3:P$12))</f>
        <v>0</v>
      </c>
      <c r="Q20" s="1">
        <f>SUMPRODUCT((NOT(ISBLANK(Q$3:Q$12))*(Q$3:Q$12&gt;$AD$3:$AD$12))+ISBLANK(Q$3:Q$12))</f>
        <v>0</v>
      </c>
      <c r="R20" s="1"/>
      <c r="S20" s="1">
        <f>SUMPRODUCT((NOT(ISBLANK(S$3:S$12))*(S$3:S$12&gt;$AE$3:$AE$12))+ISBLANK(S$3:S$12))</f>
        <v>0</v>
      </c>
      <c r="T20" s="1">
        <f>SUMPRODUCT((NOT(ISBLANK(T$3:T$12))*(T$3:T$12&gt;$AF$3:$AF$12))+ISBLANK(T$3:T$12))</f>
        <v>0</v>
      </c>
      <c r="U20" s="1">
        <f>SUMPRODUCT((NOT(ISBLANK(U$3:U$12))*(U$3:U$12&gt;$AG$3:$AG$12))+ISBLANK(U$3:U$12))</f>
        <v>0</v>
      </c>
      <c r="V20" s="1">
        <f>SUMPRODUCT((NOT(ISBLANK(V$3:V$12))*(V$3:V$12&gt;$AH$3:$AH$12))+ISBLANK(V$3:V$12))</f>
        <v>0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>
      <c r="A21" s="1" t="s">
        <v>17</v>
      </c>
      <c r="B21" s="1">
        <f>SUMPRODUCT((NOT(ISBLANK(B$3:B$12))*(B$3:B$12=$AI$3:$AI$12))+ISBLANK(B$3:B$12))</f>
        <v>0</v>
      </c>
      <c r="C21" s="1">
        <f>SUMPRODUCT((NOT(ISBLANK(C$3:C$12))*(C$3:C$12=$AJ$3:$AJ$12))+ISBLANK(C$3:C$12))</f>
        <v>0</v>
      </c>
      <c r="D21" s="1"/>
      <c r="E21" s="1">
        <f>SUMPRODUCT((NOT(ISBLANK(E$3:E$12))*(E$3:E$12=$AK$3:$AK$12))+ISBLANK(E$3:E$12))</f>
        <v>0</v>
      </c>
      <c r="F21" s="1">
        <f>SUMPRODUCT((NOT(ISBLANK(F$3:F$12))*(F$3:F$12=$AL$3:$AL$12))+ISBLANK(F$3:F$12))</f>
        <v>0</v>
      </c>
      <c r="G21" s="1">
        <f>SUMPRODUCT((NOT(ISBLANK(G$3:G$12))*(G$3:G$12=$AM$3:$AM$12))+ISBLANK(G$3:G$12))</f>
        <v>0</v>
      </c>
      <c r="H21" s="1">
        <f>SUMPRODUCT((NOT(ISBLANK(H$3:H$12))*(H$3:H$12=$AN$3:$AN$12))+ISBLANK(H$3:H$12))</f>
        <v>0</v>
      </c>
      <c r="I21" s="1">
        <f>SUMPRODUCT((NOT(ISBLANK(I$3:I$12))*(I$3:I$12=$AI$3:$AI$12))+ISBLANK(I$3:I$12))</f>
        <v>0</v>
      </c>
      <c r="J21" s="1">
        <f>SUMPRODUCT((NOT(ISBLANK(J$3:J$12))*(J$3:J$12=$AJ$3:$AJ$12))+ISBLANK(J$3:J$12))</f>
        <v>0</v>
      </c>
      <c r="K21" s="1"/>
      <c r="L21" s="1">
        <f>SUMPRODUCT((NOT(ISBLANK(L$3:L$12))*(L$3:L$12=$AK$3:$AK$12))+ISBLANK(L$3:L$12))</f>
        <v>0</v>
      </c>
      <c r="M21" s="1">
        <f>SUMPRODUCT((NOT(ISBLANK(M$3:M$12))*(M$3:M$12=$AL$3:$AL$12))+ISBLANK(M$3:M$12))</f>
        <v>0</v>
      </c>
      <c r="N21" s="1">
        <f>SUMPRODUCT((NOT(ISBLANK(N$3:N$12))*(N$3:N$12=$AM$3:$AM$12))+ISBLANK(N$3:N$12))</f>
        <v>0</v>
      </c>
      <c r="O21" s="1">
        <f>SUMPRODUCT((NOT(ISBLANK(O$3:O$12))*(O$3:O$12=$AN$3:$AN$12))+ISBLANK(O$3:O$12))</f>
        <v>0</v>
      </c>
      <c r="P21" s="1">
        <f>SUMPRODUCT((NOT(ISBLANK(P$3:P$12))*(P$3:P$12=$AI$3:$AI$12))+ISBLANK(P$3:P$12))</f>
        <v>0</v>
      </c>
      <c r="Q21" s="1">
        <f>SUMPRODUCT((NOT(ISBLANK(Q$3:Q$12))*(Q$3:Q$12=$AJ$3:$AJ$12))+ISBLANK(Q$3:Q$12))</f>
        <v>0</v>
      </c>
      <c r="R21" s="1"/>
      <c r="S21" s="1">
        <f>SUMPRODUCT((NOT(ISBLANK(S$3:S$12))*(S$3:S$12=$AK$3:$AK$12))+ISBLANK(S$3:S$12))</f>
        <v>0</v>
      </c>
      <c r="T21" s="1">
        <f>SUMPRODUCT((NOT(ISBLANK(T$3:T$12))*(T$3:T$12=$AL$3:$AL$12))+ISBLANK(T$3:T$12))</f>
        <v>0</v>
      </c>
      <c r="U21" s="1">
        <f>SUMPRODUCT((NOT(ISBLANK(U$3:U$12))*(U$3:U$12=$AM$3:$AM$12))+ISBLANK(U$3:U$12))</f>
        <v>0</v>
      </c>
      <c r="V21" s="1">
        <f>SUMPRODUCT((NOT(ISBLANK(V$3:V$12))*(V$3:V$12=$AN$3:$AN$12))+ISBLANK(V$3:V$12))</f>
        <v>0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40" width="11.42578125" customWidth="1"/>
  </cols>
  <sheetData>
    <row r="1" spans="1:40">
      <c r="A1" s="1"/>
      <c r="B1" s="1" t="s">
        <v>18</v>
      </c>
      <c r="C1" s="1"/>
      <c r="D1" s="1"/>
      <c r="E1" s="1"/>
      <c r="F1" s="1"/>
      <c r="G1" s="1"/>
      <c r="H1" s="1"/>
      <c r="I1" s="1" t="s">
        <v>27</v>
      </c>
      <c r="J1" s="1"/>
      <c r="K1" s="1"/>
      <c r="L1" s="1"/>
      <c r="M1" s="1"/>
      <c r="N1" s="1"/>
      <c r="O1" s="1"/>
      <c r="P1" s="1" t="s">
        <v>28</v>
      </c>
      <c r="Q1" s="1"/>
      <c r="R1" s="1"/>
      <c r="S1" s="1"/>
      <c r="T1" s="1"/>
      <c r="U1" s="1"/>
      <c r="V1" s="1"/>
      <c r="W1" s="1" t="s">
        <v>29</v>
      </c>
      <c r="X1" s="1"/>
      <c r="Y1" s="1"/>
      <c r="Z1" s="1"/>
      <c r="AA1" s="1"/>
      <c r="AB1" s="1"/>
      <c r="AC1" s="1" t="s">
        <v>30</v>
      </c>
      <c r="AD1" s="1"/>
      <c r="AE1" s="1"/>
      <c r="AF1" s="1"/>
      <c r="AG1" s="1"/>
      <c r="AH1" s="1"/>
      <c r="AI1" s="1" t="s">
        <v>31</v>
      </c>
      <c r="AJ1" s="1"/>
      <c r="AK1" s="1"/>
      <c r="AL1" s="1"/>
      <c r="AM1" s="1"/>
      <c r="AN1" s="1"/>
    </row>
    <row r="2" spans="1:40">
      <c r="A2" s="1"/>
      <c r="B2" s="1" t="s">
        <v>19</v>
      </c>
      <c r="C2" s="1" t="s">
        <v>20</v>
      </c>
      <c r="D2" s="1" t="s">
        <v>21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19</v>
      </c>
      <c r="J2" s="1" t="s">
        <v>20</v>
      </c>
      <c r="K2" s="1" t="s">
        <v>21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19</v>
      </c>
      <c r="Q2" s="1" t="s">
        <v>20</v>
      </c>
      <c r="R2" s="1" t="s">
        <v>21</v>
      </c>
      <c r="S2" s="1" t="s">
        <v>23</v>
      </c>
      <c r="T2" s="1" t="s">
        <v>24</v>
      </c>
      <c r="U2" s="1" t="s">
        <v>25</v>
      </c>
      <c r="V2" s="1" t="s">
        <v>26</v>
      </c>
      <c r="W2" s="1" t="s">
        <v>19</v>
      </c>
      <c r="X2" s="1" t="s">
        <v>20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19</v>
      </c>
      <c r="AD2" s="1" t="s">
        <v>20</v>
      </c>
      <c r="AE2" s="1" t="s">
        <v>23</v>
      </c>
      <c r="AF2" s="1" t="s">
        <v>24</v>
      </c>
      <c r="AG2" s="1" t="s">
        <v>25</v>
      </c>
      <c r="AH2" s="1" t="s">
        <v>26</v>
      </c>
      <c r="AI2" s="1" t="s">
        <v>19</v>
      </c>
      <c r="AJ2" s="1" t="s">
        <v>20</v>
      </c>
      <c r="AK2" s="1" t="s">
        <v>23</v>
      </c>
      <c r="AL2" s="1" t="s">
        <v>24</v>
      </c>
      <c r="AM2" s="1" t="s">
        <v>25</v>
      </c>
      <c r="AN2" s="1" t="s">
        <v>26</v>
      </c>
    </row>
    <row r="3" spans="1:40">
      <c r="A3" s="1" t="s">
        <v>33</v>
      </c>
      <c r="B3" s="1">
        <f>AVERAGE(Instances!B3:Instances!B12)</f>
        <v>0</v>
      </c>
      <c r="C3" s="1">
        <f>AVERAGE(Instances!C3:Instances!C12)</f>
        <v>0</v>
      </c>
      <c r="D3" s="1"/>
      <c r="E3" s="1">
        <f>AVERAGE(Instances!E3:Instances!E12)</f>
        <v>0</v>
      </c>
      <c r="F3" s="1">
        <f>AVERAGE(Instances!F3:Instances!F12)</f>
        <v>0</v>
      </c>
      <c r="G3" s="1">
        <f>AVERAGE(Instances!G3:Instances!G12)</f>
        <v>0</v>
      </c>
      <c r="H3" s="1">
        <f>AVERAGE(Instances!H3:Instances!H12)</f>
        <v>0</v>
      </c>
      <c r="I3" s="1">
        <f>AVERAGE(Instances!I3:Instances!I12)</f>
        <v>0</v>
      </c>
      <c r="J3" s="1">
        <f>AVERAGE(Instances!J3:Instances!J12)</f>
        <v>0</v>
      </c>
      <c r="K3" s="1"/>
      <c r="L3" s="1">
        <f>AVERAGE(Instances!L3:Instances!L12)</f>
        <v>0</v>
      </c>
      <c r="M3" s="1">
        <f>AVERAGE(Instances!M3:Instances!M12)</f>
        <v>0</v>
      </c>
      <c r="N3" s="1">
        <f>AVERAGE(Instances!N3:Instances!N12)</f>
        <v>0</v>
      </c>
      <c r="O3" s="1">
        <f>AVERAGE(Instances!O3:Instances!O12)</f>
        <v>0</v>
      </c>
      <c r="P3" s="1">
        <f>AVERAGE(Instances!P3:Instances!P12)</f>
        <v>0</v>
      </c>
      <c r="Q3" s="1">
        <f>AVERAGE(Instances!Q3:Instances!Q12)</f>
        <v>0</v>
      </c>
      <c r="R3" s="1"/>
      <c r="S3" s="1">
        <f>AVERAGE(Instances!S3:Instances!S12)</f>
        <v>0</v>
      </c>
      <c r="T3" s="1">
        <f>AVERAGE(Instances!T3:Instances!T12)</f>
        <v>0</v>
      </c>
      <c r="U3" s="1">
        <f>AVERAGE(Instances!U3:Instances!U12)</f>
        <v>0</v>
      </c>
      <c r="V3" s="1">
        <f>AVERAGE(Instances!V3:Instances!V12)</f>
        <v>0</v>
      </c>
      <c r="W3" s="1">
        <f>MIN($B3,$I3,$P3)</f>
        <v>0</v>
      </c>
      <c r="X3" s="1">
        <f>MIN($C3,$J3,$Q3)</f>
        <v>0</v>
      </c>
      <c r="Y3" s="1">
        <f>MIN($E3,$L3,$S3)</f>
        <v>0</v>
      </c>
      <c r="Z3" s="1">
        <f>MIN($F3,$M3,$T3)</f>
        <v>0</v>
      </c>
      <c r="AA3" s="1">
        <f>MIN($G3,$N3,$U3)</f>
        <v>0</v>
      </c>
      <c r="AB3" s="1">
        <f>MIN($H3,$O3,$V3)</f>
        <v>0</v>
      </c>
      <c r="AC3" s="1">
        <f>MEDIAN($B3,$I3,$P3)</f>
        <v>0</v>
      </c>
      <c r="AD3" s="1">
        <f>MEDIAN($C3,$J3,$Q3)</f>
        <v>0</v>
      </c>
      <c r="AE3" s="1">
        <f>MEDIAN($E3,$L3,$S3)</f>
        <v>0</v>
      </c>
      <c r="AF3" s="1">
        <f>MEDIAN($F3,$M3,$T3)</f>
        <v>0</v>
      </c>
      <c r="AG3" s="1">
        <f>MEDIAN($G3,$N3,$U3)</f>
        <v>0</v>
      </c>
      <c r="AH3" s="1">
        <f>MEDIAN($H3,$O3,$V3)</f>
        <v>0</v>
      </c>
      <c r="AI3" s="1">
        <f>MAX($B3,$I3,$P3)</f>
        <v>0</v>
      </c>
      <c r="AJ3" s="1">
        <f>MAX($C3,$J3,$Q3)</f>
        <v>0</v>
      </c>
      <c r="AK3" s="1">
        <f>MAX($E3,$L3,$S3)</f>
        <v>0</v>
      </c>
      <c r="AL3" s="1">
        <f>MAX($F3,$M3,$T3)</f>
        <v>0</v>
      </c>
      <c r="AM3" s="1">
        <f>MAX($G3,$N3,$U3)</f>
        <v>0</v>
      </c>
      <c r="AN3" s="1">
        <f>MAX($H3,$O3,$V3)</f>
        <v>0</v>
      </c>
    </row>
    <row r="4" spans="1:4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>
      <c r="A5" s="1" t="s">
        <v>10</v>
      </c>
      <c r="B5" s="1">
        <f>SUM(B$3:B$3)</f>
        <v>0</v>
      </c>
      <c r="C5" s="1">
        <f>SUM(C$3:C$3)</f>
        <v>0</v>
      </c>
      <c r="D5" s="1"/>
      <c r="E5" s="1">
        <f>SUM(E$3:E$3)</f>
        <v>0</v>
      </c>
      <c r="F5" s="1">
        <f>SUM(F$3:F$3)</f>
        <v>0</v>
      </c>
      <c r="G5" s="1">
        <f>SUM(G$3:G$3)</f>
        <v>0</v>
      </c>
      <c r="H5" s="1">
        <f>SUM(H$3:H$3)</f>
        <v>0</v>
      </c>
      <c r="I5" s="1">
        <f>SUM(I$3:I$3)</f>
        <v>0</v>
      </c>
      <c r="J5" s="1">
        <f>SUM(J$3:J$3)</f>
        <v>0</v>
      </c>
      <c r="K5" s="1"/>
      <c r="L5" s="1">
        <f>SUM(L$3:L$3)</f>
        <v>0</v>
      </c>
      <c r="M5" s="1">
        <f>SUM(M$3:M$3)</f>
        <v>0</v>
      </c>
      <c r="N5" s="1">
        <f>SUM(N$3:N$3)</f>
        <v>0</v>
      </c>
      <c r="O5" s="1">
        <f>SUM(O$3:O$3)</f>
        <v>0</v>
      </c>
      <c r="P5" s="1">
        <f>SUM(P$3:P$3)</f>
        <v>0</v>
      </c>
      <c r="Q5" s="1">
        <f>SUM(Q$3:Q$3)</f>
        <v>0</v>
      </c>
      <c r="R5" s="1"/>
      <c r="S5" s="1">
        <f>SUM(S$3:S$3)</f>
        <v>0</v>
      </c>
      <c r="T5" s="1">
        <f>SUM(T$3:T$3)</f>
        <v>0</v>
      </c>
      <c r="U5" s="1">
        <f>SUM(U$3:U$3)</f>
        <v>0</v>
      </c>
      <c r="V5" s="1">
        <f>SUM(V$3:V$3)</f>
        <v>0</v>
      </c>
      <c r="W5" s="1">
        <f>SUM(W$3:W$3)</f>
        <v>0</v>
      </c>
      <c r="X5" s="1">
        <f>SUM(X$3:X$3)</f>
        <v>0</v>
      </c>
      <c r="Y5" s="1">
        <f>SUM(Y$3:Y$3)</f>
        <v>0</v>
      </c>
      <c r="Z5" s="1">
        <f>SUM(Z$3:Z$3)</f>
        <v>0</v>
      </c>
      <c r="AA5" s="1">
        <f>SUM(AA$3:AA$3)</f>
        <v>0</v>
      </c>
      <c r="AB5" s="1">
        <f>SUM(AB$3:AB$3)</f>
        <v>0</v>
      </c>
      <c r="AC5" s="1">
        <f>SUM(AC$3:AC$3)</f>
        <v>0</v>
      </c>
      <c r="AD5" s="1">
        <f>SUM(AD$3:AD$3)</f>
        <v>0</v>
      </c>
      <c r="AE5" s="1">
        <f>SUM(AE$3:AE$3)</f>
        <v>0</v>
      </c>
      <c r="AF5" s="1">
        <f>SUM(AF$3:AF$3)</f>
        <v>0</v>
      </c>
      <c r="AG5" s="1">
        <f>SUM(AG$3:AG$3)</f>
        <v>0</v>
      </c>
      <c r="AH5" s="1">
        <f>SUM(AH$3:AH$3)</f>
        <v>0</v>
      </c>
      <c r="AI5" s="1">
        <f>SUM(AI$3:AI$3)</f>
        <v>0</v>
      </c>
      <c r="AJ5" s="1">
        <f>SUM(AJ$3:AJ$3)</f>
        <v>0</v>
      </c>
      <c r="AK5" s="1">
        <f>SUM(AK$3:AK$3)</f>
        <v>0</v>
      </c>
      <c r="AL5" s="1">
        <f>SUM(AL$3:AL$3)</f>
        <v>0</v>
      </c>
      <c r="AM5" s="1">
        <f>SUM(AM$3:AM$3)</f>
        <v>0</v>
      </c>
      <c r="AN5" s="1">
        <f>SUM(AN$3:AN$3)</f>
        <v>0</v>
      </c>
    </row>
    <row r="6" spans="1:40">
      <c r="A6" s="1" t="s">
        <v>11</v>
      </c>
      <c r="B6" s="1">
        <f>AVERAGE(B$3:B$3)</f>
        <v>0</v>
      </c>
      <c r="C6" s="1">
        <f>AVERAGE(C$3:C$3)</f>
        <v>0</v>
      </c>
      <c r="D6" s="1"/>
      <c r="E6" s="1">
        <f>AVERAGE(E$3:E$3)</f>
        <v>0</v>
      </c>
      <c r="F6" s="1">
        <f>AVERAGE(F$3:F$3)</f>
        <v>0</v>
      </c>
      <c r="G6" s="1">
        <f>AVERAGE(G$3:G$3)</f>
        <v>0</v>
      </c>
      <c r="H6" s="1">
        <f>AVERAGE(H$3:H$3)</f>
        <v>0</v>
      </c>
      <c r="I6" s="1">
        <f>AVERAGE(I$3:I$3)</f>
        <v>0</v>
      </c>
      <c r="J6" s="1">
        <f>AVERAGE(J$3:J$3)</f>
        <v>0</v>
      </c>
      <c r="K6" s="1"/>
      <c r="L6" s="1">
        <f>AVERAGE(L$3:L$3)</f>
        <v>0</v>
      </c>
      <c r="M6" s="1">
        <f>AVERAGE(M$3:M$3)</f>
        <v>0</v>
      </c>
      <c r="N6" s="1">
        <f>AVERAGE(N$3:N$3)</f>
        <v>0</v>
      </c>
      <c r="O6" s="1">
        <f>AVERAGE(O$3:O$3)</f>
        <v>0</v>
      </c>
      <c r="P6" s="1">
        <f>AVERAGE(P$3:P$3)</f>
        <v>0</v>
      </c>
      <c r="Q6" s="1">
        <f>AVERAGE(Q$3:Q$3)</f>
        <v>0</v>
      </c>
      <c r="R6" s="1"/>
      <c r="S6" s="1">
        <f>AVERAGE(S$3:S$3)</f>
        <v>0</v>
      </c>
      <c r="T6" s="1">
        <f>AVERAGE(T$3:T$3)</f>
        <v>0</v>
      </c>
      <c r="U6" s="1">
        <f>AVERAGE(U$3:U$3)</f>
        <v>0</v>
      </c>
      <c r="V6" s="1">
        <f>AVERAGE(V$3:V$3)</f>
        <v>0</v>
      </c>
      <c r="W6" s="1">
        <f>AVERAGE(W$3:W$3)</f>
        <v>0</v>
      </c>
      <c r="X6" s="1">
        <f>AVERAGE(X$3:X$3)</f>
        <v>0</v>
      </c>
      <c r="Y6" s="1">
        <f>AVERAGE(Y$3:Y$3)</f>
        <v>0</v>
      </c>
      <c r="Z6" s="1">
        <f>AVERAGE(Z$3:Z$3)</f>
        <v>0</v>
      </c>
      <c r="AA6" s="1">
        <f>AVERAGE(AA$3:AA$3)</f>
        <v>0</v>
      </c>
      <c r="AB6" s="1">
        <f>AVERAGE(AB$3:AB$3)</f>
        <v>0</v>
      </c>
      <c r="AC6" s="1">
        <f>AVERAGE(AC$3:AC$3)</f>
        <v>0</v>
      </c>
      <c r="AD6" s="1">
        <f>AVERAGE(AD$3:AD$3)</f>
        <v>0</v>
      </c>
      <c r="AE6" s="1">
        <f>AVERAGE(AE$3:AE$3)</f>
        <v>0</v>
      </c>
      <c r="AF6" s="1">
        <f>AVERAGE(AF$3:AF$3)</f>
        <v>0</v>
      </c>
      <c r="AG6" s="1">
        <f>AVERAGE(AG$3:AG$3)</f>
        <v>0</v>
      </c>
      <c r="AH6" s="1">
        <f>AVERAGE(AH$3:AH$3)</f>
        <v>0</v>
      </c>
      <c r="AI6" s="1">
        <f>AVERAGE(AI$3:AI$3)</f>
        <v>0</v>
      </c>
      <c r="AJ6" s="1">
        <f>AVERAGE(AJ$3:AJ$3)</f>
        <v>0</v>
      </c>
      <c r="AK6" s="1">
        <f>AVERAGE(AK$3:AK$3)</f>
        <v>0</v>
      </c>
      <c r="AL6" s="1">
        <f>AVERAGE(AL$3:AL$3)</f>
        <v>0</v>
      </c>
      <c r="AM6" s="1">
        <f>AVERAGE(AM$3:AM$3)</f>
        <v>0</v>
      </c>
      <c r="AN6" s="1">
        <f>AVERAGE(AN$3:AN$3)</f>
        <v>0</v>
      </c>
    </row>
    <row r="7" spans="1:40">
      <c r="A7" s="1" t="s">
        <v>12</v>
      </c>
      <c r="B7" s="1">
        <f>STDEV(B$3:B$3)</f>
        <v>0</v>
      </c>
      <c r="C7" s="1">
        <f>STDEV(C$3:C$3)</f>
        <v>0</v>
      </c>
      <c r="D7" s="1"/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>
        <f>STDEV(I$3:I$3)</f>
        <v>0</v>
      </c>
      <c r="J7" s="1">
        <f>STDEV(J$3:J$3)</f>
        <v>0</v>
      </c>
      <c r="K7" s="1"/>
      <c r="L7" s="1">
        <f>STDEV(L$3:L$3)</f>
        <v>0</v>
      </c>
      <c r="M7" s="1">
        <f>STDEV(M$3:M$3)</f>
        <v>0</v>
      </c>
      <c r="N7" s="1">
        <f>STDEV(N$3:N$3)</f>
        <v>0</v>
      </c>
      <c r="O7" s="1">
        <f>STDEV(O$3:O$3)</f>
        <v>0</v>
      </c>
      <c r="P7" s="1">
        <f>STDEV(P$3:P$3)</f>
        <v>0</v>
      </c>
      <c r="Q7" s="1">
        <f>STDEV(Q$3:Q$3)</f>
        <v>0</v>
      </c>
      <c r="R7" s="1"/>
      <c r="S7" s="1">
        <f>STDEV(S$3:S$3)</f>
        <v>0</v>
      </c>
      <c r="T7" s="1">
        <f>STDEV(T$3:T$3)</f>
        <v>0</v>
      </c>
      <c r="U7" s="1">
        <f>STDEV(U$3:U$3)</f>
        <v>0</v>
      </c>
      <c r="V7" s="1">
        <f>STDEV(V$3:V$3)</f>
        <v>0</v>
      </c>
      <c r="W7" s="1">
        <f>STDEV(W$3:W$3)</f>
        <v>0</v>
      </c>
      <c r="X7" s="1">
        <f>STDEV(X$3:X$3)</f>
        <v>0</v>
      </c>
      <c r="Y7" s="1">
        <f>STDEV(Y$3:Y$3)</f>
        <v>0</v>
      </c>
      <c r="Z7" s="1">
        <f>STDEV(Z$3:Z$3)</f>
        <v>0</v>
      </c>
      <c r="AA7" s="1">
        <f>STDEV(AA$3:AA$3)</f>
        <v>0</v>
      </c>
      <c r="AB7" s="1">
        <f>STDEV(AB$3:AB$3)</f>
        <v>0</v>
      </c>
      <c r="AC7" s="1">
        <f>STDEV(AC$3:AC$3)</f>
        <v>0</v>
      </c>
      <c r="AD7" s="1">
        <f>STDEV(AD$3:AD$3)</f>
        <v>0</v>
      </c>
      <c r="AE7" s="1">
        <f>STDEV(AE$3:AE$3)</f>
        <v>0</v>
      </c>
      <c r="AF7" s="1">
        <f>STDEV(AF$3:AF$3)</f>
        <v>0</v>
      </c>
      <c r="AG7" s="1">
        <f>STDEV(AG$3:AG$3)</f>
        <v>0</v>
      </c>
      <c r="AH7" s="1">
        <f>STDEV(AH$3:AH$3)</f>
        <v>0</v>
      </c>
      <c r="AI7" s="1">
        <f>STDEV(AI$3:AI$3)</f>
        <v>0</v>
      </c>
      <c r="AJ7" s="1">
        <f>STDEV(AJ$3:AJ$3)</f>
        <v>0</v>
      </c>
      <c r="AK7" s="1">
        <f>STDEV(AK$3:AK$3)</f>
        <v>0</v>
      </c>
      <c r="AL7" s="1">
        <f>STDEV(AL$3:AL$3)</f>
        <v>0</v>
      </c>
      <c r="AM7" s="1">
        <f>STDEV(AM$3:AM$3)</f>
        <v>0</v>
      </c>
      <c r="AN7" s="1">
        <f>STDEV(AN$3:AN$3)</f>
        <v>0</v>
      </c>
    </row>
    <row r="8" spans="1:40">
      <c r="A8" s="1" t="s">
        <v>13</v>
      </c>
      <c r="B8" s="1">
        <f>SUMPRODUCT(--(B$3:B$3-$W$3:$W$3)^2)^0.5</f>
        <v>0</v>
      </c>
      <c r="C8" s="1">
        <f>SUMPRODUCT(--(C$3:C$3-$X$3:$X$3)^2)^0.5</f>
        <v>0</v>
      </c>
      <c r="D8" s="1"/>
      <c r="E8" s="1">
        <f>SUMPRODUCT(--(E$3:E$3-$Y$3:$Y$3)^2)^0.5</f>
        <v>0</v>
      </c>
      <c r="F8" s="1">
        <f>SUMPRODUCT(--(F$3:F$3-$Z$3:$Z$3)^2)^0.5</f>
        <v>0</v>
      </c>
      <c r="G8" s="1">
        <f>SUMPRODUCT(--(G$3:G$3-$AA$3:$AA$3)^2)^0.5</f>
        <v>0</v>
      </c>
      <c r="H8" s="1">
        <f>SUMPRODUCT(--(H$3:H$3-$AB$3:$AB$3)^2)^0.5</f>
        <v>0</v>
      </c>
      <c r="I8" s="1">
        <f>SUMPRODUCT(--(I$3:I$3-$W$3:$W$3)^2)^0.5</f>
        <v>0</v>
      </c>
      <c r="J8" s="1">
        <f>SUMPRODUCT(--(J$3:J$3-$X$3:$X$3)^2)^0.5</f>
        <v>0</v>
      </c>
      <c r="K8" s="1"/>
      <c r="L8" s="1">
        <f>SUMPRODUCT(--(L$3:L$3-$Y$3:$Y$3)^2)^0.5</f>
        <v>0</v>
      </c>
      <c r="M8" s="1">
        <f>SUMPRODUCT(--(M$3:M$3-$Z$3:$Z$3)^2)^0.5</f>
        <v>0</v>
      </c>
      <c r="N8" s="1">
        <f>SUMPRODUCT(--(N$3:N$3-$AA$3:$AA$3)^2)^0.5</f>
        <v>0</v>
      </c>
      <c r="O8" s="1">
        <f>SUMPRODUCT(--(O$3:O$3-$AB$3:$AB$3)^2)^0.5</f>
        <v>0</v>
      </c>
      <c r="P8" s="1">
        <f>SUMPRODUCT(--(P$3:P$3-$W$3:$W$3)^2)^0.5</f>
        <v>0</v>
      </c>
      <c r="Q8" s="1">
        <f>SUMPRODUCT(--(Q$3:Q$3-$X$3:$X$3)^2)^0.5</f>
        <v>0</v>
      </c>
      <c r="R8" s="1"/>
      <c r="S8" s="1">
        <f>SUMPRODUCT(--(S$3:S$3-$Y$3:$Y$3)^2)^0.5</f>
        <v>0</v>
      </c>
      <c r="T8" s="1">
        <f>SUMPRODUCT(--(T$3:T$3-$Z$3:$Z$3)^2)^0.5</f>
        <v>0</v>
      </c>
      <c r="U8" s="1">
        <f>SUMPRODUCT(--(U$3:U$3-$AA$3:$AA$3)^2)^0.5</f>
        <v>0</v>
      </c>
      <c r="V8" s="1">
        <f>SUMPRODUCT(--(V$3:V$3-$AB$3:$AB$3)^2)^0.5</f>
        <v>0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>
      <c r="A9" s="1" t="s">
        <v>14</v>
      </c>
      <c r="B9" s="1">
        <f>SUMPRODUCT(NOT(ISBLANK(B$3:B$3))*(B$3:B$3=$W$3:$W$3))</f>
        <v>0</v>
      </c>
      <c r="C9" s="1">
        <f>SUMPRODUCT(NOT(ISBLANK(C$3:C$3))*(C$3:C$3=$X$3:$X$3))</f>
        <v>0</v>
      </c>
      <c r="D9" s="1"/>
      <c r="E9" s="1">
        <f>SUMPRODUCT(NOT(ISBLANK(E$3:E$3))*(E$3:E$3=$Y$3:$Y$3))</f>
        <v>0</v>
      </c>
      <c r="F9" s="1">
        <f>SUMPRODUCT(NOT(ISBLANK(F$3:F$3))*(F$3:F$3=$Z$3:$Z$3))</f>
        <v>0</v>
      </c>
      <c r="G9" s="1">
        <f>SUMPRODUCT(NOT(ISBLANK(G$3:G$3))*(G$3:G$3=$AA$3:$AA$3))</f>
        <v>0</v>
      </c>
      <c r="H9" s="1">
        <f>SUMPRODUCT(NOT(ISBLANK(H$3:H$3))*(H$3:H$3=$AB$3:$AB$3))</f>
        <v>0</v>
      </c>
      <c r="I9" s="1">
        <f>SUMPRODUCT(NOT(ISBLANK(I$3:I$3))*(I$3:I$3=$W$3:$W$3))</f>
        <v>0</v>
      </c>
      <c r="J9" s="1">
        <f>SUMPRODUCT(NOT(ISBLANK(J$3:J$3))*(J$3:J$3=$X$3:$X$3))</f>
        <v>0</v>
      </c>
      <c r="K9" s="1"/>
      <c r="L9" s="1">
        <f>SUMPRODUCT(NOT(ISBLANK(L$3:L$3))*(L$3:L$3=$Y$3:$Y$3))</f>
        <v>0</v>
      </c>
      <c r="M9" s="1">
        <f>SUMPRODUCT(NOT(ISBLANK(M$3:M$3))*(M$3:M$3=$Z$3:$Z$3))</f>
        <v>0</v>
      </c>
      <c r="N9" s="1">
        <f>SUMPRODUCT(NOT(ISBLANK(N$3:N$3))*(N$3:N$3=$AA$3:$AA$3))</f>
        <v>0</v>
      </c>
      <c r="O9" s="1">
        <f>SUMPRODUCT(NOT(ISBLANK(O$3:O$3))*(O$3:O$3=$AB$3:$AB$3))</f>
        <v>0</v>
      </c>
      <c r="P9" s="1">
        <f>SUMPRODUCT(NOT(ISBLANK(P$3:P$3))*(P$3:P$3=$W$3:$W$3))</f>
        <v>0</v>
      </c>
      <c r="Q9" s="1">
        <f>SUMPRODUCT(NOT(ISBLANK(Q$3:Q$3))*(Q$3:Q$3=$X$3:$X$3))</f>
        <v>0</v>
      </c>
      <c r="R9" s="1"/>
      <c r="S9" s="1">
        <f>SUMPRODUCT(NOT(ISBLANK(S$3:S$3))*(S$3:S$3=$Y$3:$Y$3))</f>
        <v>0</v>
      </c>
      <c r="T9" s="1">
        <f>SUMPRODUCT(NOT(ISBLANK(T$3:T$3))*(T$3:T$3=$Z$3:$Z$3))</f>
        <v>0</v>
      </c>
      <c r="U9" s="1">
        <f>SUMPRODUCT(NOT(ISBLANK(U$3:U$3))*(U$3:U$3=$AA$3:$AA$3))</f>
        <v>0</v>
      </c>
      <c r="V9" s="1">
        <f>SUMPRODUCT(NOT(ISBLANK(V$3:V$3))*(V$3:V$3=$AB$3:$AB$3))</f>
        <v>0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>
      <c r="A10" s="1" t="s">
        <v>15</v>
      </c>
      <c r="B10" s="1">
        <f>SUMPRODUCT(NOT(ISBLANK(B$3:B$3))*(B$3:B$3&lt;$AC$3:$AC$3))</f>
        <v>0</v>
      </c>
      <c r="C10" s="1">
        <f>SUMPRODUCT(NOT(ISBLANK(C$3:C$3))*(C$3:C$3&lt;$AD$3:$AD$3))</f>
        <v>0</v>
      </c>
      <c r="D10" s="1"/>
      <c r="E10" s="1">
        <f>SUMPRODUCT(NOT(ISBLANK(E$3:E$3))*(E$3:E$3&lt;$AE$3:$AE$3))</f>
        <v>0</v>
      </c>
      <c r="F10" s="1">
        <f>SUMPRODUCT(NOT(ISBLANK(F$3:F$3))*(F$3:F$3&lt;$AF$3:$AF$3))</f>
        <v>0</v>
      </c>
      <c r="G10" s="1">
        <f>SUMPRODUCT(NOT(ISBLANK(G$3:G$3))*(G$3:G$3&lt;$AG$3:$AG$3))</f>
        <v>0</v>
      </c>
      <c r="H10" s="1">
        <f>SUMPRODUCT(NOT(ISBLANK(H$3:H$3))*(H$3:H$3&lt;$AH$3:$AH$3))</f>
        <v>0</v>
      </c>
      <c r="I10" s="1">
        <f>SUMPRODUCT(NOT(ISBLANK(I$3:I$3))*(I$3:I$3&lt;$AC$3:$AC$3))</f>
        <v>0</v>
      </c>
      <c r="J10" s="1">
        <f>SUMPRODUCT(NOT(ISBLANK(J$3:J$3))*(J$3:J$3&lt;$AD$3:$AD$3))</f>
        <v>0</v>
      </c>
      <c r="K10" s="1"/>
      <c r="L10" s="1">
        <f>SUMPRODUCT(NOT(ISBLANK(L$3:L$3))*(L$3:L$3&lt;$AE$3:$AE$3))</f>
        <v>0</v>
      </c>
      <c r="M10" s="1">
        <f>SUMPRODUCT(NOT(ISBLANK(M$3:M$3))*(M$3:M$3&lt;$AF$3:$AF$3))</f>
        <v>0</v>
      </c>
      <c r="N10" s="1">
        <f>SUMPRODUCT(NOT(ISBLANK(N$3:N$3))*(N$3:N$3&lt;$AG$3:$AG$3))</f>
        <v>0</v>
      </c>
      <c r="O10" s="1">
        <f>SUMPRODUCT(NOT(ISBLANK(O$3:O$3))*(O$3:O$3&lt;$AH$3:$AH$3))</f>
        <v>0</v>
      </c>
      <c r="P10" s="1">
        <f>SUMPRODUCT(NOT(ISBLANK(P$3:P$3))*(P$3:P$3&lt;$AC$3:$AC$3))</f>
        <v>0</v>
      </c>
      <c r="Q10" s="1">
        <f>SUMPRODUCT(NOT(ISBLANK(Q$3:Q$3))*(Q$3:Q$3&lt;$AD$3:$AD$3))</f>
        <v>0</v>
      </c>
      <c r="R10" s="1"/>
      <c r="S10" s="1">
        <f>SUMPRODUCT(NOT(ISBLANK(S$3:S$3))*(S$3:S$3&lt;$AE$3:$AE$3))</f>
        <v>0</v>
      </c>
      <c r="T10" s="1">
        <f>SUMPRODUCT(NOT(ISBLANK(T$3:T$3))*(T$3:T$3&lt;$AF$3:$AF$3))</f>
        <v>0</v>
      </c>
      <c r="U10" s="1">
        <f>SUMPRODUCT(NOT(ISBLANK(U$3:U$3))*(U$3:U$3&lt;$AG$3:$AG$3))</f>
        <v>0</v>
      </c>
      <c r="V10" s="1">
        <f>SUMPRODUCT(NOT(ISBLANK(V$3:V$3))*(V$3:V$3&lt;$AH$3:$AH$3))</f>
        <v>0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>
      <c r="A11" s="1" t="s">
        <v>16</v>
      </c>
      <c r="B11" s="1">
        <f>SUMPRODUCT((NOT(ISBLANK(B$3:B$3))*(B$3:B$3&gt;$AC$3:$AC$3))+ISBLANK(B$3:B$3))</f>
        <v>0</v>
      </c>
      <c r="C11" s="1">
        <f>SUMPRODUCT((NOT(ISBLANK(C$3:C$3))*(C$3:C$3&gt;$AD$3:$AD$3))+ISBLANK(C$3:C$3))</f>
        <v>0</v>
      </c>
      <c r="D11" s="1"/>
      <c r="E11" s="1">
        <f>SUMPRODUCT((NOT(ISBLANK(E$3:E$3))*(E$3:E$3&gt;$AE$3:$AE$3))+ISBLANK(E$3:E$3))</f>
        <v>0</v>
      </c>
      <c r="F11" s="1">
        <f>SUMPRODUCT((NOT(ISBLANK(F$3:F$3))*(F$3:F$3&gt;$AF$3:$AF$3))+ISBLANK(F$3:F$3))</f>
        <v>0</v>
      </c>
      <c r="G11" s="1">
        <f>SUMPRODUCT((NOT(ISBLANK(G$3:G$3))*(G$3:G$3&gt;$AG$3:$AG$3))+ISBLANK(G$3:G$3))</f>
        <v>0</v>
      </c>
      <c r="H11" s="1">
        <f>SUMPRODUCT((NOT(ISBLANK(H$3:H$3))*(H$3:H$3&gt;$AH$3:$AH$3))+ISBLANK(H$3:H$3))</f>
        <v>0</v>
      </c>
      <c r="I11" s="1">
        <f>SUMPRODUCT((NOT(ISBLANK(I$3:I$3))*(I$3:I$3&gt;$AC$3:$AC$3))+ISBLANK(I$3:I$3))</f>
        <v>0</v>
      </c>
      <c r="J11" s="1">
        <f>SUMPRODUCT((NOT(ISBLANK(J$3:J$3))*(J$3:J$3&gt;$AD$3:$AD$3))+ISBLANK(J$3:J$3))</f>
        <v>0</v>
      </c>
      <c r="K11" s="1"/>
      <c r="L11" s="1">
        <f>SUMPRODUCT((NOT(ISBLANK(L$3:L$3))*(L$3:L$3&gt;$AE$3:$AE$3))+ISBLANK(L$3:L$3))</f>
        <v>0</v>
      </c>
      <c r="M11" s="1">
        <f>SUMPRODUCT((NOT(ISBLANK(M$3:M$3))*(M$3:M$3&gt;$AF$3:$AF$3))+ISBLANK(M$3:M$3))</f>
        <v>0</v>
      </c>
      <c r="N11" s="1">
        <f>SUMPRODUCT((NOT(ISBLANK(N$3:N$3))*(N$3:N$3&gt;$AG$3:$AG$3))+ISBLANK(N$3:N$3))</f>
        <v>0</v>
      </c>
      <c r="O11" s="1">
        <f>SUMPRODUCT((NOT(ISBLANK(O$3:O$3))*(O$3:O$3&gt;$AH$3:$AH$3))+ISBLANK(O$3:O$3))</f>
        <v>0</v>
      </c>
      <c r="P11" s="1">
        <f>SUMPRODUCT((NOT(ISBLANK(P$3:P$3))*(P$3:P$3&gt;$AC$3:$AC$3))+ISBLANK(P$3:P$3))</f>
        <v>0</v>
      </c>
      <c r="Q11" s="1">
        <f>SUMPRODUCT((NOT(ISBLANK(Q$3:Q$3))*(Q$3:Q$3&gt;$AD$3:$AD$3))+ISBLANK(Q$3:Q$3))</f>
        <v>0</v>
      </c>
      <c r="R11" s="1"/>
      <c r="S11" s="1">
        <f>SUMPRODUCT((NOT(ISBLANK(S$3:S$3))*(S$3:S$3&gt;$AE$3:$AE$3))+ISBLANK(S$3:S$3))</f>
        <v>0</v>
      </c>
      <c r="T11" s="1">
        <f>SUMPRODUCT((NOT(ISBLANK(T$3:T$3))*(T$3:T$3&gt;$AF$3:$AF$3))+ISBLANK(T$3:T$3))</f>
        <v>0</v>
      </c>
      <c r="U11" s="1">
        <f>SUMPRODUCT((NOT(ISBLANK(U$3:U$3))*(U$3:U$3&gt;$AG$3:$AG$3))+ISBLANK(U$3:U$3))</f>
        <v>0</v>
      </c>
      <c r="V11" s="1">
        <f>SUMPRODUCT((NOT(ISBLANK(V$3:V$3))*(V$3:V$3&gt;$AH$3:$AH$3))+ISBLANK(V$3:V$3))</f>
        <v>0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>
      <c r="A12" s="1" t="s">
        <v>17</v>
      </c>
      <c r="B12" s="1">
        <f>SUMPRODUCT((NOT(ISBLANK(B$3:B$3))*(B$3:B$3=$AI$3:$AI$3))+ISBLANK(B$3:B$3))</f>
        <v>0</v>
      </c>
      <c r="C12" s="1">
        <f>SUMPRODUCT((NOT(ISBLANK(C$3:C$3))*(C$3:C$3=$AJ$3:$AJ$3))+ISBLANK(C$3:C$3))</f>
        <v>0</v>
      </c>
      <c r="D12" s="1"/>
      <c r="E12" s="1">
        <f>SUMPRODUCT((NOT(ISBLANK(E$3:E$3))*(E$3:E$3=$AK$3:$AK$3))+ISBLANK(E$3:E$3))</f>
        <v>0</v>
      </c>
      <c r="F12" s="1">
        <f>SUMPRODUCT((NOT(ISBLANK(F$3:F$3))*(F$3:F$3=$AL$3:$AL$3))+ISBLANK(F$3:F$3))</f>
        <v>0</v>
      </c>
      <c r="G12" s="1">
        <f>SUMPRODUCT((NOT(ISBLANK(G$3:G$3))*(G$3:G$3=$AM$3:$AM$3))+ISBLANK(G$3:G$3))</f>
        <v>0</v>
      </c>
      <c r="H12" s="1">
        <f>SUMPRODUCT((NOT(ISBLANK(H$3:H$3))*(H$3:H$3=$AN$3:$AN$3))+ISBLANK(H$3:H$3))</f>
        <v>0</v>
      </c>
      <c r="I12" s="1">
        <f>SUMPRODUCT((NOT(ISBLANK(I$3:I$3))*(I$3:I$3=$AI$3:$AI$3))+ISBLANK(I$3:I$3))</f>
        <v>0</v>
      </c>
      <c r="J12" s="1">
        <f>SUMPRODUCT((NOT(ISBLANK(J$3:J$3))*(J$3:J$3=$AJ$3:$AJ$3))+ISBLANK(J$3:J$3))</f>
        <v>0</v>
      </c>
      <c r="K12" s="1"/>
      <c r="L12" s="1">
        <f>SUMPRODUCT((NOT(ISBLANK(L$3:L$3))*(L$3:L$3=$AK$3:$AK$3))+ISBLANK(L$3:L$3))</f>
        <v>0</v>
      </c>
      <c r="M12" s="1">
        <f>SUMPRODUCT((NOT(ISBLANK(M$3:M$3))*(M$3:M$3=$AL$3:$AL$3))+ISBLANK(M$3:M$3))</f>
        <v>0</v>
      </c>
      <c r="N12" s="1">
        <f>SUMPRODUCT((NOT(ISBLANK(N$3:N$3))*(N$3:N$3=$AM$3:$AM$3))+ISBLANK(N$3:N$3))</f>
        <v>0</v>
      </c>
      <c r="O12" s="1">
        <f>SUMPRODUCT((NOT(ISBLANK(O$3:O$3))*(O$3:O$3=$AN$3:$AN$3))+ISBLANK(O$3:O$3))</f>
        <v>0</v>
      </c>
      <c r="P12" s="1">
        <f>SUMPRODUCT((NOT(ISBLANK(P$3:P$3))*(P$3:P$3=$AI$3:$AI$3))+ISBLANK(P$3:P$3))</f>
        <v>0</v>
      </c>
      <c r="Q12" s="1">
        <f>SUMPRODUCT((NOT(ISBLANK(Q$3:Q$3))*(Q$3:Q$3=$AJ$3:$AJ$3))+ISBLANK(Q$3:Q$3))</f>
        <v>0</v>
      </c>
      <c r="R12" s="1"/>
      <c r="S12" s="1">
        <f>SUMPRODUCT((NOT(ISBLANK(S$3:S$3))*(S$3:S$3=$AK$3:$AK$3))+ISBLANK(S$3:S$3))</f>
        <v>0</v>
      </c>
      <c r="T12" s="1">
        <f>SUMPRODUCT((NOT(ISBLANK(T$3:T$3))*(T$3:T$3=$AL$3:$AL$3))+ISBLANK(T$3:T$3))</f>
        <v>0</v>
      </c>
      <c r="U12" s="1">
        <f>SUMPRODUCT((NOT(ISBLANK(U$3:U$3))*(U$3:U$3=$AM$3:$AM$3))+ISBLANK(U$3:U$3))</f>
        <v>0</v>
      </c>
      <c r="V12" s="1">
        <f>SUMPRODUCT((NOT(ISBLANK(V$3:V$3))*(V$3:V$3=$AN$3:$AN$3))+ISBLANK(V$3:V$3))</f>
        <v>0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2026-02-17T03:33:33Z</dcterms:created>
  <dcterms:modified xsi:type="dcterms:W3CDTF">2026-02-17T03:33:33Z</dcterms:modified>
</cp:coreProperties>
</file>