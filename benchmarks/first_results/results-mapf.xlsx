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<sst xmlns="http://schemas.openxmlformats.org/spreadsheetml/2006/main" count="150" uniqueCount="33">
  <si>
    <t>instances/x6_y6_a1_f1</t>
  </si>
  <si>
    <t>instances/x6_y6_a1_f10</t>
  </si>
  <si>
    <t>instances/x6_y6_a1_f50</t>
  </si>
  <si>
    <t>instances/x6_y6_a2_f1</t>
  </si>
  <si>
    <t>instances/x6_y6_a2_f10</t>
  </si>
  <si>
    <t>instances/x6_y6_a2_f50</t>
  </si>
  <si>
    <t>instances/x6_y6_a3_f1</t>
  </si>
  <si>
    <t>instances/x6_y6_a3_f10</t>
  </si>
  <si>
    <t>instances/x6_y6_a3_f50</t>
  </si>
  <si>
    <t>instances/x6_y6_a4_f1</t>
  </si>
  <si>
    <t>instances/x6_y6_a4_f10</t>
  </si>
  <si>
    <t>instances/x6_y6_a4_f50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</si>
  <si>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</si>
  <si>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</si>
  <si>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</si>
  <si>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</si>
  <si>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</si>
  <si>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</si>
  <si>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</si>
  <si>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</si>
  <si>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memelingo-1/allapproaches_mlp-tplp-ht</t>
  </si>
  <si>
    <t>time</t>
  </si>
  <si>
    <t>status</t>
  </si>
  <si>
    <t>SATISFIABLE</t>
  </si>
  <si>
    <t>UNKNOWN</t>
  </si>
  <si>
    <t>rules</t>
  </si>
  <si>
    <t>memelingo-1/allapproaches_mlp-tplp-htc</t>
  </si>
  <si>
    <t>memelingo-1/allapproaches_mlp-tplp-htcdl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</si>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</sst>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" width="12.42578125" customWidth="1"/>
    <col min="5" max="7" width="12.7109375" customWidth="1"/>
    <col min="8" max="10" width="13.28515625" customWidth="1"/>
    <col min="11" max="16" width="11.42578125" customWidth="1"/>
  </cols>
  <sheetData>
    <row r="1" spans="1:16">
      <c r="A1" s="1"/>
      <c r="B1" s="1" t="s">
        <v>20</v>
      </c>
      <c r="C1" s="1"/>
      <c r="D1" s="1"/>
      <c r="E1" s="1" t="s">
        <v>26</v>
      </c>
      <c r="F1" s="1"/>
      <c r="G1" s="1"/>
      <c r="H1" s="1" t="s">
        <v>27</v>
      </c>
      <c r="I1" s="1"/>
      <c r="J1" s="1"/>
      <c r="K1" s="1" t="s">
        <v>28</v>
      </c>
      <c r="L1" s="1"/>
      <c r="M1" s="1" t="s">
        <v>29</v>
      </c>
      <c r="N1" s="1"/>
      <c r="O1" s="1" t="s">
        <v>30</v>
      </c>
      <c r="P1" s="1"/>
    </row>
    <row r="2" spans="1:16">
      <c r="A2" s="1"/>
      <c r="B2" s="1" t="s">
        <v>21</v>
      </c>
      <c r="C2" s="1" t="s">
        <v>22</v>
      </c>
      <c r="D2" s="1" t="s">
        <v>25</v>
      </c>
      <c r="E2" s="1" t="s">
        <v>21</v>
      </c>
      <c r="F2" s="1" t="s">
        <v>22</v>
      </c>
      <c r="G2" s="1" t="s">
        <v>25</v>
      </c>
      <c r="H2" s="1" t="s">
        <v>21</v>
      </c>
      <c r="I2" s="1" t="s">
        <v>22</v>
      </c>
      <c r="J2" s="1" t="s">
        <v>25</v>
      </c>
      <c r="K2" s="1" t="s">
        <v>21</v>
      </c>
      <c r="L2" s="1" t="s">
        <v>25</v>
      </c>
      <c r="M2" s="1" t="s">
        <v>21</v>
      </c>
      <c r="N2" s="1" t="s">
        <v>25</v>
      </c>
      <c r="O2" s="1" t="s">
        <v>21</v>
      </c>
      <c r="P2" s="1" t="s">
        <v>25</v>
      </c>
    </row>
    <row r="3" spans="1:16">
      <c r="A3" s="1" t="s">
        <v>0</v>
      </c>
      <c r="B3" s="1">
        <v>10.35</v>
      </c>
      <c r="C3" s="1" t="s">
        <v>23</v>
      </c>
      <c r="D3" s="1">
        <v>223548</v>
      </c>
      <c r="E3" s="1">
        <v>9.81</v>
      </c>
      <c r="F3" s="1" t="s">
        <v>23</v>
      </c>
      <c r="G3" s="1">
        <v>179712</v>
      </c>
      <c r="H3" s="1">
        <v>13.24</v>
      </c>
      <c r="I3" s="1" t="s">
        <v>23</v>
      </c>
      <c r="J3" s="1">
        <v>179702</v>
      </c>
      <c r="K3" s="1">
        <f>MIN($B3,$E3,$H3)</f>
        <v>0</v>
      </c>
      <c r="L3" s="1">
        <f>MIN($D3,$G3,$J3)</f>
        <v>0</v>
      </c>
      <c r="M3" s="1">
        <f>MEDIAN($B3,$E3,$H3)</f>
        <v>0</v>
      </c>
      <c r="N3" s="1">
        <f>MEDIAN($D3,$G3,$J3)</f>
        <v>0</v>
      </c>
      <c r="O3" s="1">
        <f>MAX($B3,$E3,$H3)</f>
        <v>0</v>
      </c>
      <c r="P3" s="1">
        <f>MAX($D3,$G3,$J3)</f>
        <v>0</v>
      </c>
    </row>
    <row r="4" spans="1:16">
      <c r="A4" s="1" t="s">
        <v>1</v>
      </c>
      <c r="B4" s="1">
        <v>61.16</v>
      </c>
      <c r="C4" s="1" t="s">
        <v>23</v>
      </c>
      <c r="D4" s="1">
        <v>9466268</v>
      </c>
      <c r="E4" s="1">
        <v>8.57</v>
      </c>
      <c r="F4" s="1" t="s">
        <v>23</v>
      </c>
      <c r="G4" s="1">
        <v>179823</v>
      </c>
      <c r="H4" s="1">
        <v>33.46</v>
      </c>
      <c r="I4" s="1" t="s">
        <v>23</v>
      </c>
      <c r="J4" s="1">
        <v>179813</v>
      </c>
      <c r="K4" s="1">
        <f>MIN($B4,$E4,$H4)</f>
        <v>0</v>
      </c>
      <c r="L4" s="1">
        <f>MIN($D4,$G4,$J4)</f>
        <v>0</v>
      </c>
      <c r="M4" s="1">
        <f>MEDIAN($B4,$E4,$H4)</f>
        <v>0</v>
      </c>
      <c r="N4" s="1">
        <f>MEDIAN($D4,$G4,$J4)</f>
        <v>0</v>
      </c>
      <c r="O4" s="1">
        <f>MAX($B4,$E4,$H4)</f>
        <v>0</v>
      </c>
      <c r="P4" s="1">
        <f>MAX($D4,$G4,$J4)</f>
        <v>0</v>
      </c>
    </row>
    <row r="5" spans="1:16">
      <c r="A5" s="1" t="s">
        <v>2</v>
      </c>
      <c r="B5" s="1">
        <v>1200</v>
      </c>
      <c r="C5" s="1" t="s">
        <v>24</v>
      </c>
      <c r="D5" s="1">
        <v>0</v>
      </c>
      <c r="E5" s="1">
        <v>10.7</v>
      </c>
      <c r="F5" s="1" t="s">
        <v>23</v>
      </c>
      <c r="G5" s="1">
        <v>179823</v>
      </c>
      <c r="H5" s="1">
        <v>32.67</v>
      </c>
      <c r="I5" s="1" t="s">
        <v>23</v>
      </c>
      <c r="J5" s="1">
        <v>179813</v>
      </c>
      <c r="K5" s="1">
        <f>MIN($B5,$E5,$H5)</f>
        <v>0</v>
      </c>
      <c r="L5" s="1">
        <f>MIN($D5,$G5,$J5)</f>
        <v>0</v>
      </c>
      <c r="M5" s="1">
        <f>MEDIAN($B5,$E5,$H5)</f>
        <v>0</v>
      </c>
      <c r="N5" s="1">
        <f>MEDIAN($D5,$G5,$J5)</f>
        <v>0</v>
      </c>
      <c r="O5" s="1">
        <f>MAX($B5,$E5,$H5)</f>
        <v>0</v>
      </c>
      <c r="P5" s="1">
        <f>MAX($D5,$G5,$J5)</f>
        <v>0</v>
      </c>
    </row>
    <row r="6" spans="1:16">
      <c r="A6" s="1" t="s">
        <v>3</v>
      </c>
      <c r="B6" s="1">
        <v>12.09</v>
      </c>
      <c r="C6" s="1" t="s">
        <v>23</v>
      </c>
      <c r="D6" s="1">
        <v>380111</v>
      </c>
      <c r="E6" s="1">
        <v>10.9</v>
      </c>
      <c r="F6" s="1" t="s">
        <v>23</v>
      </c>
      <c r="G6" s="1">
        <v>338410</v>
      </c>
      <c r="H6" s="1">
        <v>20.14</v>
      </c>
      <c r="I6" s="1" t="s">
        <v>23</v>
      </c>
      <c r="J6" s="1">
        <v>338400</v>
      </c>
      <c r="K6" s="1">
        <f>MIN($B6,$E6,$H6)</f>
        <v>0</v>
      </c>
      <c r="L6" s="1">
        <f>MIN($D6,$G6,$J6)</f>
        <v>0</v>
      </c>
      <c r="M6" s="1">
        <f>MEDIAN($B6,$E6,$H6)</f>
        <v>0</v>
      </c>
      <c r="N6" s="1">
        <f>MEDIAN($D6,$G6,$J6)</f>
        <v>0</v>
      </c>
      <c r="O6" s="1">
        <f>MAX($B6,$E6,$H6)</f>
        <v>0</v>
      </c>
      <c r="P6" s="1">
        <f>MAX($D6,$G6,$J6)</f>
        <v>0</v>
      </c>
    </row>
    <row r="7" spans="1:16">
      <c r="A7" s="1" t="s">
        <v>4</v>
      </c>
      <c r="B7" s="1">
        <v>803.8200000000001</v>
      </c>
      <c r="C7" s="1" t="s">
        <v>23</v>
      </c>
      <c r="D7" s="1">
        <v>9622831</v>
      </c>
      <c r="E7" s="1">
        <v>18.37</v>
      </c>
      <c r="F7" s="1" t="s">
        <v>23</v>
      </c>
      <c r="G7" s="1">
        <v>338521</v>
      </c>
      <c r="H7" s="1">
        <v>99.18000000000001</v>
      </c>
      <c r="I7" s="1" t="s">
        <v>23</v>
      </c>
      <c r="J7" s="1">
        <v>338511</v>
      </c>
      <c r="K7" s="1">
        <f>MIN($B7,$E7,$H7)</f>
        <v>0</v>
      </c>
      <c r="L7" s="1">
        <f>MIN($D7,$G7,$J7)</f>
        <v>0</v>
      </c>
      <c r="M7" s="1">
        <f>MEDIAN($B7,$E7,$H7)</f>
        <v>0</v>
      </c>
      <c r="N7" s="1">
        <f>MEDIAN($D7,$G7,$J7)</f>
        <v>0</v>
      </c>
      <c r="O7" s="1">
        <f>MAX($B7,$E7,$H7)</f>
        <v>0</v>
      </c>
      <c r="P7" s="1">
        <f>MAX($D7,$G7,$J7)</f>
        <v>0</v>
      </c>
    </row>
    <row r="8" spans="1:16">
      <c r="A8" s="1" t="s">
        <v>5</v>
      </c>
      <c r="B8" s="1">
        <v>1200</v>
      </c>
      <c r="C8" s="1" t="s">
        <v>24</v>
      </c>
      <c r="D8" s="1">
        <v>0</v>
      </c>
      <c r="E8" s="1">
        <v>19.24</v>
      </c>
      <c r="F8" s="1" t="s">
        <v>23</v>
      </c>
      <c r="G8" s="1">
        <v>338521</v>
      </c>
      <c r="H8" s="1">
        <v>95.69</v>
      </c>
      <c r="I8" s="1" t="s">
        <v>23</v>
      </c>
      <c r="J8" s="1">
        <v>338511</v>
      </c>
      <c r="K8" s="1">
        <f>MIN($B8,$E8,$H8)</f>
        <v>0</v>
      </c>
      <c r="L8" s="1">
        <f>MIN($D8,$G8,$J8)</f>
        <v>0</v>
      </c>
      <c r="M8" s="1">
        <f>MEDIAN($B8,$E8,$H8)</f>
        <v>0</v>
      </c>
      <c r="N8" s="1">
        <f>MEDIAN($D8,$G8,$J8)</f>
        <v>0</v>
      </c>
      <c r="O8" s="1">
        <f>MAX($B8,$E8,$H8)</f>
        <v>0</v>
      </c>
      <c r="P8" s="1">
        <f>MAX($D8,$G8,$J8)</f>
        <v>0</v>
      </c>
    </row>
    <row r="9" spans="1:16">
      <c r="A9" s="1" t="s">
        <v>6</v>
      </c>
      <c r="B9" s="1">
        <v>15.96</v>
      </c>
      <c r="C9" s="1" t="s">
        <v>23</v>
      </c>
      <c r="D9" s="1">
        <v>538294</v>
      </c>
      <c r="E9" s="1">
        <v>14.82</v>
      </c>
      <c r="F9" s="1" t="s">
        <v>23</v>
      </c>
      <c r="G9" s="1">
        <v>498728</v>
      </c>
      <c r="H9" s="1">
        <v>17.16</v>
      </c>
      <c r="I9" s="1" t="s">
        <v>23</v>
      </c>
      <c r="J9" s="1">
        <v>498718</v>
      </c>
      <c r="K9" s="1">
        <f>MIN($B9,$E9,$H9)</f>
        <v>0</v>
      </c>
      <c r="L9" s="1">
        <f>MIN($D9,$G9,$J9)</f>
        <v>0</v>
      </c>
      <c r="M9" s="1">
        <f>MEDIAN($B9,$E9,$H9)</f>
        <v>0</v>
      </c>
      <c r="N9" s="1">
        <f>MEDIAN($D9,$G9,$J9)</f>
        <v>0</v>
      </c>
      <c r="O9" s="1">
        <f>MAX($B9,$E9,$H9)</f>
        <v>0</v>
      </c>
      <c r="P9" s="1">
        <f>MAX($D9,$G9,$J9)</f>
        <v>0</v>
      </c>
    </row>
    <row r="10" spans="1:16">
      <c r="A10" s="1" t="s">
        <v>7</v>
      </c>
      <c r="B10" s="1">
        <v>1200</v>
      </c>
      <c r="C10" s="1" t="s">
        <v>24</v>
      </c>
      <c r="D10" s="1">
        <v>9781014</v>
      </c>
      <c r="E10" s="1">
        <v>69.17</v>
      </c>
      <c r="F10" s="1" t="s">
        <v>23</v>
      </c>
      <c r="G10" s="1">
        <v>498839</v>
      </c>
      <c r="H10" s="1">
        <v>154.48</v>
      </c>
      <c r="I10" s="1" t="s">
        <v>23</v>
      </c>
      <c r="J10" s="1">
        <v>498829</v>
      </c>
      <c r="K10" s="1">
        <f>MIN($B10,$E10,$H10)</f>
        <v>0</v>
      </c>
      <c r="L10" s="1">
        <f>MIN($D10,$G10,$J10)</f>
        <v>0</v>
      </c>
      <c r="M10" s="1">
        <f>MEDIAN($B10,$E10,$H10)</f>
        <v>0</v>
      </c>
      <c r="N10" s="1">
        <f>MEDIAN($D10,$G10,$J10)</f>
        <v>0</v>
      </c>
      <c r="O10" s="1">
        <f>MAX($B10,$E10,$H10)</f>
        <v>0</v>
      </c>
      <c r="P10" s="1">
        <f>MAX($D10,$G10,$J10)</f>
        <v>0</v>
      </c>
    </row>
    <row r="11" spans="1:16">
      <c r="A11" s="1" t="s">
        <v>8</v>
      </c>
      <c r="B11" s="1">
        <v>1200</v>
      </c>
      <c r="C11" s="1" t="s">
        <v>24</v>
      </c>
      <c r="D11" s="1">
        <v>0</v>
      </c>
      <c r="E11" s="1">
        <v>21.89</v>
      </c>
      <c r="F11" s="1" t="s">
        <v>23</v>
      </c>
      <c r="G11" s="1">
        <v>498839</v>
      </c>
      <c r="H11" s="1">
        <v>152.58</v>
      </c>
      <c r="I11" s="1" t="s">
        <v>23</v>
      </c>
      <c r="J11" s="1">
        <v>498829</v>
      </c>
      <c r="K11" s="1">
        <f>MIN($B11,$E11,$H11)</f>
        <v>0</v>
      </c>
      <c r="L11" s="1">
        <f>MIN($D11,$G11,$J11)</f>
        <v>0</v>
      </c>
      <c r="M11" s="1">
        <f>MEDIAN($B11,$E11,$H11)</f>
        <v>0</v>
      </c>
      <c r="N11" s="1">
        <f>MEDIAN($D11,$G11,$J11)</f>
        <v>0</v>
      </c>
      <c r="O11" s="1">
        <f>MAX($B11,$E11,$H11)</f>
        <v>0</v>
      </c>
      <c r="P11" s="1">
        <f>MAX($D11,$G11,$J11)</f>
        <v>0</v>
      </c>
    </row>
    <row r="12" spans="1:16">
      <c r="A12" s="1" t="s">
        <v>9</v>
      </c>
      <c r="B12" s="1">
        <v>15.39</v>
      </c>
      <c r="C12" s="1" t="s">
        <v>23</v>
      </c>
      <c r="D12" s="1">
        <v>698097</v>
      </c>
      <c r="E12" s="1">
        <v>16.1</v>
      </c>
      <c r="F12" s="1" t="s">
        <v>23</v>
      </c>
      <c r="G12" s="1">
        <v>660666</v>
      </c>
      <c r="H12" s="1">
        <v>24.57</v>
      </c>
      <c r="I12" s="1" t="s">
        <v>23</v>
      </c>
      <c r="J12" s="1">
        <v>660656</v>
      </c>
      <c r="K12" s="1">
        <f>MIN($B12,$E12,$H12)</f>
        <v>0</v>
      </c>
      <c r="L12" s="1">
        <f>MIN($D12,$G12,$J12)</f>
        <v>0</v>
      </c>
      <c r="M12" s="1">
        <f>MEDIAN($B12,$E12,$H12)</f>
        <v>0</v>
      </c>
      <c r="N12" s="1">
        <f>MEDIAN($D12,$G12,$J12)</f>
        <v>0</v>
      </c>
      <c r="O12" s="1">
        <f>MAX($B12,$E12,$H12)</f>
        <v>0</v>
      </c>
      <c r="P12" s="1">
        <f>MAX($D12,$G12,$J12)</f>
        <v>0</v>
      </c>
    </row>
    <row r="13" spans="1:16">
      <c r="A13" s="1" t="s">
        <v>10</v>
      </c>
      <c r="B13" s="1">
        <v>1200</v>
      </c>
      <c r="C13" s="1" t="s">
        <v>24</v>
      </c>
      <c r="D13" s="1">
        <v>9940817</v>
      </c>
      <c r="E13" s="1">
        <v>49.68</v>
      </c>
      <c r="F13" s="1" t="s">
        <v>23</v>
      </c>
      <c r="G13" s="1">
        <v>660777</v>
      </c>
      <c r="H13" s="1">
        <v>295.83</v>
      </c>
      <c r="I13" s="1" t="s">
        <v>23</v>
      </c>
      <c r="J13" s="1">
        <v>660767</v>
      </c>
      <c r="K13" s="1">
        <f>MIN($B13,$E13,$H13)</f>
        <v>0</v>
      </c>
      <c r="L13" s="1">
        <f>MIN($D13,$G13,$J13)</f>
        <v>0</v>
      </c>
      <c r="M13" s="1">
        <f>MEDIAN($B13,$E13,$H13)</f>
        <v>0</v>
      </c>
      <c r="N13" s="1">
        <f>MEDIAN($D13,$G13,$J13)</f>
        <v>0</v>
      </c>
      <c r="O13" s="1">
        <f>MAX($B13,$E13,$H13)</f>
        <v>0</v>
      </c>
      <c r="P13" s="1">
        <f>MAX($D13,$G13,$J13)</f>
        <v>0</v>
      </c>
    </row>
    <row r="14" spans="1:16">
      <c r="A14" s="1" t="s">
        <v>11</v>
      </c>
      <c r="B14" s="1">
        <v>1200</v>
      </c>
      <c r="C14" s="1" t="s">
        <v>24</v>
      </c>
      <c r="D14" s="1">
        <v>0</v>
      </c>
      <c r="E14" s="1">
        <v>80.27</v>
      </c>
      <c r="F14" s="1" t="s">
        <v>23</v>
      </c>
      <c r="G14" s="1">
        <v>660777</v>
      </c>
      <c r="H14" s="1">
        <v>294.22</v>
      </c>
      <c r="I14" s="1" t="s">
        <v>23</v>
      </c>
      <c r="J14" s="1">
        <v>660767</v>
      </c>
      <c r="K14" s="1">
        <f>MIN($B14,$E14,$H14)</f>
        <v>0</v>
      </c>
      <c r="L14" s="1">
        <f>MIN($D14,$G14,$J14)</f>
        <v>0</v>
      </c>
      <c r="M14" s="1">
        <f>MEDIAN($B14,$E14,$H14)</f>
        <v>0</v>
      </c>
      <c r="N14" s="1">
        <f>MEDIAN($D14,$G14,$J14)</f>
        <v>0</v>
      </c>
      <c r="O14" s="1">
        <f>MAX($B14,$E14,$H14)</f>
        <v>0</v>
      </c>
      <c r="P14" s="1">
        <f>MAX($D14,$G14,$J14)</f>
        <v>0</v>
      </c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12</v>
      </c>
      <c r="B16" s="1">
        <f>SUM(B$3:B$14)</f>
        <v>0</v>
      </c>
      <c r="C16" s="1"/>
      <c r="D16" s="1">
        <f>SUM(D$3:D$14)</f>
        <v>0</v>
      </c>
      <c r="E16" s="1">
        <f>SUM(E$3:E$14)</f>
        <v>0</v>
      </c>
      <c r="F16" s="1"/>
      <c r="G16" s="1">
        <f>SUM(G$3:G$14)</f>
        <v>0</v>
      </c>
      <c r="H16" s="1">
        <f>SUM(H$3:H$14)</f>
        <v>0</v>
      </c>
      <c r="I16" s="1"/>
      <c r="J16" s="1">
        <f>SUM(J$3:J$14)</f>
        <v>0</v>
      </c>
      <c r="K16" s="1">
        <f>SUM(K$3:K$14)</f>
        <v>0</v>
      </c>
      <c r="L16" s="1">
        <f>SUM(L$3:L$14)</f>
        <v>0</v>
      </c>
      <c r="M16" s="1">
        <f>SUM(M$3:M$14)</f>
        <v>0</v>
      </c>
      <c r="N16" s="1">
        <f>SUM(N$3:N$14)</f>
        <v>0</v>
      </c>
      <c r="O16" s="1">
        <f>SUM(O$3:O$14)</f>
        <v>0</v>
      </c>
      <c r="P16" s="1">
        <f>SUM(P$3:P$14)</f>
        <v>0</v>
      </c>
    </row>
    <row r="17" spans="1:16">
      <c r="A17" s="1" t="s">
        <v>13</v>
      </c>
      <c r="B17" s="1">
        <f>AVERAGE(B$3:B$14)</f>
        <v>0</v>
      </c>
      <c r="C17" s="1"/>
      <c r="D17" s="1">
        <f>AVERAGE(D$3:D$14)</f>
        <v>0</v>
      </c>
      <c r="E17" s="1">
        <f>AVERAGE(E$3:E$14)</f>
        <v>0</v>
      </c>
      <c r="F17" s="1"/>
      <c r="G17" s="1">
        <f>AVERAGE(G$3:G$14)</f>
        <v>0</v>
      </c>
      <c r="H17" s="1">
        <f>AVERAGE(H$3:H$14)</f>
        <v>0</v>
      </c>
      <c r="I17" s="1"/>
      <c r="J17" s="1">
        <f>AVERAGE(J$3:J$14)</f>
        <v>0</v>
      </c>
      <c r="K17" s="1">
        <f>AVERAGE(K$3:K$14)</f>
        <v>0</v>
      </c>
      <c r="L17" s="1">
        <f>AVERAGE(L$3:L$14)</f>
        <v>0</v>
      </c>
      <c r="M17" s="1">
        <f>AVERAGE(M$3:M$14)</f>
        <v>0</v>
      </c>
      <c r="N17" s="1">
        <f>AVERAGE(N$3:N$14)</f>
        <v>0</v>
      </c>
      <c r="O17" s="1">
        <f>AVERAGE(O$3:O$14)</f>
        <v>0</v>
      </c>
      <c r="P17" s="1">
        <f>AVERAGE(P$3:P$14)</f>
        <v>0</v>
      </c>
    </row>
    <row r="18" spans="1:16">
      <c r="A18" s="1" t="s">
        <v>14</v>
      </c>
      <c r="B18" s="1">
        <f>STDEV(B$3:B$14)</f>
        <v>0</v>
      </c>
      <c r="C18" s="1"/>
      <c r="D18" s="1">
        <f>STDEV(D$3:D$14)</f>
        <v>0</v>
      </c>
      <c r="E18" s="1">
        <f>STDEV(E$3:E$14)</f>
        <v>0</v>
      </c>
      <c r="F18" s="1"/>
      <c r="G18" s="1">
        <f>STDEV(G$3:G$14)</f>
        <v>0</v>
      </c>
      <c r="H18" s="1">
        <f>STDEV(H$3:H$14)</f>
        <v>0</v>
      </c>
      <c r="I18" s="1"/>
      <c r="J18" s="1">
        <f>STDEV(J$3:J$14)</f>
        <v>0</v>
      </c>
      <c r="K18" s="1">
        <f>STDEV(K$3:K$14)</f>
        <v>0</v>
      </c>
      <c r="L18" s="1">
        <f>STDEV(L$3:L$14)</f>
        <v>0</v>
      </c>
      <c r="M18" s="1">
        <f>STDEV(M$3:M$14)</f>
        <v>0</v>
      </c>
      <c r="N18" s="1">
        <f>STDEV(N$3:N$14)</f>
        <v>0</v>
      </c>
      <c r="O18" s="1">
        <f>STDEV(O$3:O$14)</f>
        <v>0</v>
      </c>
      <c r="P18" s="1">
        <f>STDEV(P$3:P$14)</f>
        <v>0</v>
      </c>
    </row>
    <row r="19" spans="1:16">
      <c r="A19" s="1" t="s">
        <v>15</v>
      </c>
      <c r="B19" s="1">
        <f>SUMPRODUCT(--(B$3:B$14-$K$3:$K$14)^2)^0.5</f>
        <v>0</v>
      </c>
      <c r="C19" s="1"/>
      <c r="D19" s="1">
        <f>SUMPRODUCT(--(D$3:D$14-$L$3:$L$14)^2)^0.5</f>
        <v>0</v>
      </c>
      <c r="E19" s="1">
        <f>SUMPRODUCT(--(E$3:E$14-$K$3:$K$14)^2)^0.5</f>
        <v>0</v>
      </c>
      <c r="F19" s="1"/>
      <c r="G19" s="1">
        <f>SUMPRODUCT(--(G$3:G$14-$L$3:$L$14)^2)^0.5</f>
        <v>0</v>
      </c>
      <c r="H19" s="1">
        <f>SUMPRODUCT(--(H$3:H$14-$K$3:$K$14)^2)^0.5</f>
        <v>0</v>
      </c>
      <c r="I19" s="1"/>
      <c r="J19" s="1">
        <f>SUMPRODUCT(--(J$3:J$14-$L$3:$L$14)^2)^0.5</f>
        <v>0</v>
      </c>
      <c r="K19" s="1"/>
      <c r="L19" s="1"/>
      <c r="M19" s="1"/>
      <c r="N19" s="1"/>
      <c r="O19" s="1"/>
      <c r="P19" s="1"/>
    </row>
    <row r="20" spans="1:16">
      <c r="A20" s="1" t="s">
        <v>16</v>
      </c>
      <c r="B20" s="1">
        <f>SUMPRODUCT(NOT(ISBLANK(B$3:B$14))*(B$3:B$14=$K$3:$K$14))</f>
        <v>0</v>
      </c>
      <c r="C20" s="1"/>
      <c r="D20" s="1">
        <f>SUMPRODUCT(NOT(ISBLANK(D$3:D$14))*(D$3:D$14=$L$3:$L$14))</f>
        <v>0</v>
      </c>
      <c r="E20" s="1">
        <f>SUMPRODUCT(NOT(ISBLANK(E$3:E$14))*(E$3:E$14=$K$3:$K$14))</f>
        <v>0</v>
      </c>
      <c r="F20" s="1"/>
      <c r="G20" s="1">
        <f>SUMPRODUCT(NOT(ISBLANK(G$3:G$14))*(G$3:G$14=$L$3:$L$14))</f>
        <v>0</v>
      </c>
      <c r="H20" s="1">
        <f>SUMPRODUCT(NOT(ISBLANK(H$3:H$14))*(H$3:H$14=$K$3:$K$14))</f>
        <v>0</v>
      </c>
      <c r="I20" s="1"/>
      <c r="J20" s="1">
        <f>SUMPRODUCT(NOT(ISBLANK(J$3:J$14))*(J$3:J$14=$L$3:$L$14))</f>
        <v>0</v>
      </c>
      <c r="K20" s="1"/>
      <c r="L20" s="1"/>
      <c r="M20" s="1"/>
      <c r="N20" s="1"/>
      <c r="O20" s="1"/>
      <c r="P20" s="1"/>
    </row>
    <row r="21" spans="1:16">
      <c r="A21" s="1" t="s">
        <v>17</v>
      </c>
      <c r="B21" s="1">
        <f>SUMPRODUCT(NOT(ISBLANK(B$3:B$14))*(B$3:B$14&lt;$M$3:$M$14))</f>
        <v>0</v>
      </c>
      <c r="C21" s="1"/>
      <c r="D21" s="1">
        <f>SUMPRODUCT(NOT(ISBLANK(D$3:D$14))*(D$3:D$14&lt;$N$3:$N$14))</f>
        <v>0</v>
      </c>
      <c r="E21" s="1">
        <f>SUMPRODUCT(NOT(ISBLANK(E$3:E$14))*(E$3:E$14&lt;$M$3:$M$14))</f>
        <v>0</v>
      </c>
      <c r="F21" s="1"/>
      <c r="G21" s="1">
        <f>SUMPRODUCT(NOT(ISBLANK(G$3:G$14))*(G$3:G$14&lt;$N$3:$N$14))</f>
        <v>0</v>
      </c>
      <c r="H21" s="1">
        <f>SUMPRODUCT(NOT(ISBLANK(H$3:H$14))*(H$3:H$14&lt;$M$3:$M$14))</f>
        <v>0</v>
      </c>
      <c r="I21" s="1"/>
      <c r="J21" s="1">
        <f>SUMPRODUCT(NOT(ISBLANK(J$3:J$14))*(J$3:J$14&lt;$N$3:$N$14))</f>
        <v>0</v>
      </c>
      <c r="K21" s="1"/>
      <c r="L21" s="1"/>
      <c r="M21" s="1"/>
      <c r="N21" s="1"/>
      <c r="O21" s="1"/>
      <c r="P21" s="1"/>
    </row>
    <row r="22" spans="1:16">
      <c r="A22" s="1" t="s">
        <v>18</v>
      </c>
      <c r="B22" s="1">
        <f>SUMPRODUCT((NOT(ISBLANK(B$3:B$14))*(B$3:B$14&gt;$M$3:$M$14))+ISBLANK(B$3:B$14))</f>
        <v>0</v>
      </c>
      <c r="C22" s="1"/>
      <c r="D22" s="1">
        <f>SUMPRODUCT((NOT(ISBLANK(D$3:D$14))*(D$3:D$14&gt;$N$3:$N$14))+ISBLANK(D$3:D$14))</f>
        <v>0</v>
      </c>
      <c r="E22" s="1">
        <f>SUMPRODUCT((NOT(ISBLANK(E$3:E$14))*(E$3:E$14&gt;$M$3:$M$14))+ISBLANK(E$3:E$14))</f>
        <v>0</v>
      </c>
      <c r="F22" s="1"/>
      <c r="G22" s="1">
        <f>SUMPRODUCT((NOT(ISBLANK(G$3:G$14))*(G$3:G$14&gt;$N$3:$N$14))+ISBLANK(G$3:G$14))</f>
        <v>0</v>
      </c>
      <c r="H22" s="1">
        <f>SUMPRODUCT((NOT(ISBLANK(H$3:H$14))*(H$3:H$14&gt;$M$3:$M$14))+ISBLANK(H$3:H$14))</f>
        <v>0</v>
      </c>
      <c r="I22" s="1"/>
      <c r="J22" s="1">
        <f>SUMPRODUCT((NOT(ISBLANK(J$3:J$14))*(J$3:J$14&gt;$N$3:$N$14))+ISBLANK(J$3:J$14))</f>
        <v>0</v>
      </c>
      <c r="K22" s="1"/>
      <c r="L22" s="1"/>
      <c r="M22" s="1"/>
      <c r="N22" s="1"/>
      <c r="O22" s="1"/>
      <c r="P22" s="1"/>
    </row>
    <row r="23" spans="1:16">
      <c r="A23" s="1" t="s">
        <v>19</v>
      </c>
      <c r="B23" s="1">
        <f>SUMPRODUCT((NOT(ISBLANK(B$3:B$14))*(B$3:B$14=$O$3:$O$14))+ISBLANK(B$3:B$14))</f>
        <v>0</v>
      </c>
      <c r="C23" s="1"/>
      <c r="D23" s="1">
        <f>SUMPRODUCT((NOT(ISBLANK(D$3:D$14))*(D$3:D$14=$P$3:$P$14))+ISBLANK(D$3:D$14))</f>
        <v>0</v>
      </c>
      <c r="E23" s="1">
        <f>SUMPRODUCT((NOT(ISBLANK(E$3:E$14))*(E$3:E$14=$O$3:$O$14))+ISBLANK(E$3:E$14))</f>
        <v>0</v>
      </c>
      <c r="F23" s="1"/>
      <c r="G23" s="1">
        <f>SUMPRODUCT((NOT(ISBLANK(G$3:G$14))*(G$3:G$14=$P$3:$P$14))+ISBLANK(G$3:G$14))</f>
        <v>0</v>
      </c>
      <c r="H23" s="1">
        <f>SUMPRODUCT((NOT(ISBLANK(H$3:H$14))*(H$3:H$14=$O$3:$O$14))+ISBLANK(H$3:H$14))</f>
        <v>0</v>
      </c>
      <c r="I23" s="1"/>
      <c r="J23" s="1">
        <f>SUMPRODUCT((NOT(ISBLANK(J$3:J$14))*(J$3:J$14=$P$3:$P$14))+ISBLANK(J$3:J$14))</f>
        <v>0</v>
      </c>
      <c r="K23" s="1"/>
      <c r="L23" s="1"/>
      <c r="M23" s="1"/>
      <c r="N23" s="1"/>
      <c r="O23" s="1"/>
      <c r="P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85546875" customWidth="1"/>
    <col min="2" max="4" width="12.42578125" customWidth="1"/>
    <col min="5" max="7" width="12.7109375" customWidth="1"/>
    <col min="8" max="10" width="13.28515625" customWidth="1"/>
    <col min="11" max="16" width="11.42578125" customWidth="1"/>
  </cols>
  <sheetData>
    <row r="1" spans="1:16">
      <c r="A1" s="1" t="s">
        <v>31</v>
      </c>
      <c r="B1" s="1" t="s">
        <v>20</v>
      </c>
      <c r="C1" s="1"/>
      <c r="D1" s="1"/>
      <c r="E1" s="1" t="s">
        <v>26</v>
      </c>
      <c r="F1" s="1"/>
      <c r="G1" s="1"/>
      <c r="H1" s="1" t="s">
        <v>27</v>
      </c>
      <c r="I1" s="1"/>
      <c r="J1" s="1"/>
      <c r="K1" s="1" t="s">
        <v>28</v>
      </c>
      <c r="L1" s="1"/>
      <c r="M1" s="1" t="s">
        <v>29</v>
      </c>
      <c r="N1" s="1"/>
      <c r="O1" s="1" t="s">
        <v>30</v>
      </c>
      <c r="P1" s="1"/>
    </row>
    <row r="2" spans="1:16">
      <c r="A2" s="2" t="s">
        <v>29</v>
      </c>
      <c r="B2" s="1" t="s">
        <v>21</v>
      </c>
      <c r="C2" s="1" t="s">
        <v>22</v>
      </c>
      <c r="D2" s="1" t="s">
        <v>25</v>
      </c>
      <c r="E2" s="1" t="s">
        <v>21</v>
      </c>
      <c r="F2" s="1" t="s">
        <v>22</v>
      </c>
      <c r="G2" s="1" t="s">
        <v>25</v>
      </c>
      <c r="H2" s="1" t="s">
        <v>21</v>
      </c>
      <c r="I2" s="1" t="s">
        <v>22</v>
      </c>
      <c r="J2" s="1" t="s">
        <v>25</v>
      </c>
      <c r="K2" s="1" t="s">
        <v>21</v>
      </c>
      <c r="L2" s="1" t="s">
        <v>25</v>
      </c>
      <c r="M2" s="1" t="s">
        <v>21</v>
      </c>
      <c r="N2" s="1" t="s">
        <v>25</v>
      </c>
      <c r="O2" s="1" t="s">
        <v>21</v>
      </c>
      <c r="P2" s="1" t="s">
        <v>25</v>
      </c>
    </row>
    <row r="3" spans="1:1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/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>
        <f>MIN($B3,$E3,$H3)</f>
        <v>0</v>
      </c>
      <c r="L3" s="1">
        <f>MIN($D3,$G3,$J3)</f>
        <v>0</v>
      </c>
      <c r="M3" s="1">
        <f>MEDIAN($B3,$E3,$H3)</f>
        <v>0</v>
      </c>
      <c r="N3" s="1">
        <f>MEDIAN($D3,$G3,$J3)</f>
        <v>0</v>
      </c>
      <c r="O3" s="1">
        <f>MAX($B3,$E3,$H3)</f>
        <v>0</v>
      </c>
      <c r="P3" s="1">
        <f>MAX($D3,$G3,$J3)</f>
        <v>0</v>
      </c>
    </row>
    <row r="4" spans="1:16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>
        <f>MIN($B4,$E4,$H4)</f>
        <v>0</v>
      </c>
      <c r="L4" s="1">
        <f>MIN($D4,$G4,$J4)</f>
        <v>0</v>
      </c>
      <c r="M4" s="1">
        <f>MEDIAN($B4,$E4,$H4)</f>
        <v>0</v>
      </c>
      <c r="N4" s="1">
        <f>MEDIAN($D4,$G4,$J4)</f>
        <v>0</v>
      </c>
      <c r="O4" s="1">
        <f>MAX($B4,$E4,$H4)</f>
        <v>0</v>
      </c>
      <c r="P4" s="1">
        <f>MAX($D4,$G4,$J4)</f>
        <v>0</v>
      </c>
    </row>
    <row r="5" spans="1:16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/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>
        <f>MIN($B5,$E5,$H5)</f>
        <v>0</v>
      </c>
      <c r="L5" s="1">
        <f>MIN($D5,$G5,$J5)</f>
        <v>0</v>
      </c>
      <c r="M5" s="1">
        <f>MEDIAN($B5,$E5,$H5)</f>
        <v>0</v>
      </c>
      <c r="N5" s="1">
        <f>MEDIAN($D5,$G5,$J5)</f>
        <v>0</v>
      </c>
      <c r="O5" s="1">
        <f>MAX($B5,$E5,$H5)</f>
        <v>0</v>
      </c>
      <c r="P5" s="1">
        <f>MAX($D5,$G5,$J5)</f>
        <v>0</v>
      </c>
    </row>
    <row r="6" spans="1:16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/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>
        <f>MIN($B6,$E6,$H6)</f>
        <v>0</v>
      </c>
      <c r="L6" s="1">
        <f>MIN($D6,$G6,$J6)</f>
        <v>0</v>
      </c>
      <c r="M6" s="1">
        <f>MEDIAN($B6,$E6,$H6)</f>
        <v>0</v>
      </c>
      <c r="N6" s="1">
        <f>MEDIAN($D6,$G6,$J6)</f>
        <v>0</v>
      </c>
      <c r="O6" s="1">
        <f>MAX($B6,$E6,$H6)</f>
        <v>0</v>
      </c>
      <c r="P6" s="1">
        <f>MAX($D6,$G6,$J6)</f>
        <v>0</v>
      </c>
    </row>
    <row r="7" spans="1:16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/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/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>
        <f>MIN($B7,$E7,$H7)</f>
        <v>0</v>
      </c>
      <c r="L7" s="1">
        <f>MIN($D7,$G7,$J7)</f>
        <v>0</v>
      </c>
      <c r="M7" s="1">
        <f>MEDIAN($B7,$E7,$H7)</f>
        <v>0</v>
      </c>
      <c r="N7" s="1">
        <f>MEDIAN($D7,$G7,$J7)</f>
        <v>0</v>
      </c>
      <c r="O7" s="1">
        <f>MAX($B7,$E7,$H7)</f>
        <v>0</v>
      </c>
      <c r="P7" s="1">
        <f>MAX($D7,$G7,$J7)</f>
        <v>0</v>
      </c>
    </row>
    <row r="8" spans="1:16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/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/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>
        <f>MIN($B8,$E8,$H8)</f>
        <v>0</v>
      </c>
      <c r="L8" s="1">
        <f>MIN($D8,$G8,$J8)</f>
        <v>0</v>
      </c>
      <c r="M8" s="1">
        <f>MEDIAN($B8,$E8,$H8)</f>
        <v>0</v>
      </c>
      <c r="N8" s="1">
        <f>MEDIAN($D8,$G8,$J8)</f>
        <v>0</v>
      </c>
      <c r="O8" s="1">
        <f>MAX($B8,$E8,$H8)</f>
        <v>0</v>
      </c>
      <c r="P8" s="1">
        <f>MAX($D8,$G8,$J8)</f>
        <v>0</v>
      </c>
    </row>
    <row r="9" spans="1:16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/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/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>
        <f>MIN($B9,$E9,$H9)</f>
        <v>0</v>
      </c>
      <c r="L9" s="1">
        <f>MIN($D9,$G9,$J9)</f>
        <v>0</v>
      </c>
      <c r="M9" s="1">
        <f>MEDIAN($B9,$E9,$H9)</f>
        <v>0</v>
      </c>
      <c r="N9" s="1">
        <f>MEDIAN($D9,$G9,$J9)</f>
        <v>0</v>
      </c>
      <c r="O9" s="1">
        <f>MAX($B9,$E9,$H9)</f>
        <v>0</v>
      </c>
      <c r="P9" s="1">
        <f>MAX($D9,$G9,$J9)</f>
        <v>0</v>
      </c>
    </row>
    <row r="10" spans="1:16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/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/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>
        <f>MIN($B10,$E10,$H10)</f>
        <v>0</v>
      </c>
      <c r="L10" s="1">
        <f>MIN($D10,$G10,$J10)</f>
        <v>0</v>
      </c>
      <c r="M10" s="1">
        <f>MEDIAN($B10,$E10,$H10)</f>
        <v>0</v>
      </c>
      <c r="N10" s="1">
        <f>MEDIAN($D10,$G10,$J10)</f>
        <v>0</v>
      </c>
      <c r="O10" s="1">
        <f>MAX($B10,$E10,$H10)</f>
        <v>0</v>
      </c>
      <c r="P10" s="1">
        <f>MAX($D10,$G10,$J10)</f>
        <v>0</v>
      </c>
    </row>
    <row r="11" spans="1:16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/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/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>
        <f>MIN($B11,$E11,$H11)</f>
        <v>0</v>
      </c>
      <c r="L11" s="1">
        <f>MIN($D11,$G11,$J11)</f>
        <v>0</v>
      </c>
      <c r="M11" s="1">
        <f>MEDIAN($B11,$E11,$H11)</f>
        <v>0</v>
      </c>
      <c r="N11" s="1">
        <f>MEDIAN($D11,$G11,$J11)</f>
        <v>0</v>
      </c>
      <c r="O11" s="1">
        <f>MAX($B11,$E11,$H11)</f>
        <v>0</v>
      </c>
      <c r="P11" s="1">
        <f>MAX($D11,$G11,$J11)</f>
        <v>0</v>
      </c>
    </row>
    <row r="12" spans="1:16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/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/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>
        <f>MIN($B12,$E12,$H12)</f>
        <v>0</v>
      </c>
      <c r="L12" s="1">
        <f>MIN($D12,$G12,$J12)</f>
        <v>0</v>
      </c>
      <c r="M12" s="1">
        <f>MEDIAN($B12,$E12,$H12)</f>
        <v>0</v>
      </c>
      <c r="N12" s="1">
        <f>MEDIAN($D12,$G12,$J12)</f>
        <v>0</v>
      </c>
      <c r="O12" s="1">
        <f>MAX($B12,$E12,$H12)</f>
        <v>0</v>
      </c>
      <c r="P12" s="1">
        <f>MAX($D12,$G12,$J12)</f>
        <v>0</v>
      </c>
    </row>
    <row r="13" spans="1:16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/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/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>
        <f>MIN($B13,$E13,$H13)</f>
        <v>0</v>
      </c>
      <c r="L13" s="1">
        <f>MIN($D13,$G13,$J13)</f>
        <v>0</v>
      </c>
      <c r="M13" s="1">
        <f>MEDIAN($B13,$E13,$H13)</f>
        <v>0</v>
      </c>
      <c r="N13" s="1">
        <f>MEDIAN($D13,$G13,$J13)</f>
        <v>0</v>
      </c>
      <c r="O13" s="1">
        <f>MAX($B13,$E13,$H13)</f>
        <v>0</v>
      </c>
      <c r="P13" s="1">
        <f>MAX($D13,$G13,$J13)</f>
        <v>0</v>
      </c>
    </row>
    <row r="14" spans="1:16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/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/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>
        <f>MIN($B14,$E14,$H14)</f>
        <v>0</v>
      </c>
      <c r="L14" s="1">
        <f>MIN($D14,$G14,$J14)</f>
        <v>0</v>
      </c>
      <c r="M14" s="1">
        <f>MEDIAN($B14,$E14,$H14)</f>
        <v>0</v>
      </c>
      <c r="N14" s="1">
        <f>MEDIAN($D14,$G14,$J14)</f>
        <v>0</v>
      </c>
      <c r="O14" s="1">
        <f>MAX($B14,$E14,$H14)</f>
        <v>0</v>
      </c>
      <c r="P14" s="1">
        <f>MAX($D14,$G14,$J14)</f>
        <v>0</v>
      </c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 t="s">
        <v>12</v>
      </c>
      <c r="B16" s="1">
        <f>SUM(B$3:B$14)</f>
        <v>0</v>
      </c>
      <c r="C16" s="1"/>
      <c r="D16" s="1">
        <f>SUM(D$3:D$14)</f>
        <v>0</v>
      </c>
      <c r="E16" s="1">
        <f>SUM(E$3:E$14)</f>
        <v>0</v>
      </c>
      <c r="F16" s="1"/>
      <c r="G16" s="1">
        <f>SUM(G$3:G$14)</f>
        <v>0</v>
      </c>
      <c r="H16" s="1">
        <f>SUM(H$3:H$14)</f>
        <v>0</v>
      </c>
      <c r="I16" s="1"/>
      <c r="J16" s="1">
        <f>SUM(J$3:J$14)</f>
        <v>0</v>
      </c>
      <c r="K16" s="1">
        <f>SUM(K$3:K$14)</f>
        <v>0</v>
      </c>
      <c r="L16" s="1">
        <f>SUM(L$3:L$14)</f>
        <v>0</v>
      </c>
      <c r="M16" s="1">
        <f>SUM(M$3:M$14)</f>
        <v>0</v>
      </c>
      <c r="N16" s="1">
        <f>SUM(N$3:N$14)</f>
        <v>0</v>
      </c>
      <c r="O16" s="1">
        <f>SUM(O$3:O$14)</f>
        <v>0</v>
      </c>
      <c r="P16" s="1">
        <f>SUM(P$3:P$14)</f>
        <v>0</v>
      </c>
    </row>
    <row r="17" spans="1:16">
      <c r="A17" s="1" t="s">
        <v>13</v>
      </c>
      <c r="B17" s="1">
        <f>AVERAGE(B$3:B$14)</f>
        <v>0</v>
      </c>
      <c r="C17" s="1"/>
      <c r="D17" s="1">
        <f>AVERAGE(D$3:D$14)</f>
        <v>0</v>
      </c>
      <c r="E17" s="1">
        <f>AVERAGE(E$3:E$14)</f>
        <v>0</v>
      </c>
      <c r="F17" s="1"/>
      <c r="G17" s="1">
        <f>AVERAGE(G$3:G$14)</f>
        <v>0</v>
      </c>
      <c r="H17" s="1">
        <f>AVERAGE(H$3:H$14)</f>
        <v>0</v>
      </c>
      <c r="I17" s="1"/>
      <c r="J17" s="1">
        <f>AVERAGE(J$3:J$14)</f>
        <v>0</v>
      </c>
      <c r="K17" s="1">
        <f>AVERAGE(K$3:K$14)</f>
        <v>0</v>
      </c>
      <c r="L17" s="1">
        <f>AVERAGE(L$3:L$14)</f>
        <v>0</v>
      </c>
      <c r="M17" s="1">
        <f>AVERAGE(M$3:M$14)</f>
        <v>0</v>
      </c>
      <c r="N17" s="1">
        <f>AVERAGE(N$3:N$14)</f>
        <v>0</v>
      </c>
      <c r="O17" s="1">
        <f>AVERAGE(O$3:O$14)</f>
        <v>0</v>
      </c>
      <c r="P17" s="1">
        <f>AVERAGE(P$3:P$14)</f>
        <v>0</v>
      </c>
    </row>
    <row r="18" spans="1:16">
      <c r="A18" s="1" t="s">
        <v>14</v>
      </c>
      <c r="B18" s="1">
        <f>STDEV(B$3:B$14)</f>
        <v>0</v>
      </c>
      <c r="C18" s="1"/>
      <c r="D18" s="1">
        <f>STDEV(D$3:D$14)</f>
        <v>0</v>
      </c>
      <c r="E18" s="1">
        <f>STDEV(E$3:E$14)</f>
        <v>0</v>
      </c>
      <c r="F18" s="1"/>
      <c r="G18" s="1">
        <f>STDEV(G$3:G$14)</f>
        <v>0</v>
      </c>
      <c r="H18" s="1">
        <f>STDEV(H$3:H$14)</f>
        <v>0</v>
      </c>
      <c r="I18" s="1"/>
      <c r="J18" s="1">
        <f>STDEV(J$3:J$14)</f>
        <v>0</v>
      </c>
      <c r="K18" s="1">
        <f>STDEV(K$3:K$14)</f>
        <v>0</v>
      </c>
      <c r="L18" s="1">
        <f>STDEV(L$3:L$14)</f>
        <v>0</v>
      </c>
      <c r="M18" s="1">
        <f>STDEV(M$3:M$14)</f>
        <v>0</v>
      </c>
      <c r="N18" s="1">
        <f>STDEV(N$3:N$14)</f>
        <v>0</v>
      </c>
      <c r="O18" s="1">
        <f>STDEV(O$3:O$14)</f>
        <v>0</v>
      </c>
      <c r="P18" s="1">
        <f>STDEV(P$3:P$14)</f>
        <v>0</v>
      </c>
    </row>
    <row r="19" spans="1:16">
      <c r="A19" s="1" t="s">
        <v>15</v>
      </c>
      <c r="B19" s="1">
        <f>SUMPRODUCT(--(B$3:B$14-$K$3:$K$14)^2)^0.5</f>
        <v>0</v>
      </c>
      <c r="C19" s="1"/>
      <c r="D19" s="1">
        <f>SUMPRODUCT(--(D$3:D$14-$L$3:$L$14)^2)^0.5</f>
        <v>0</v>
      </c>
      <c r="E19" s="1">
        <f>SUMPRODUCT(--(E$3:E$14-$K$3:$K$14)^2)^0.5</f>
        <v>0</v>
      </c>
      <c r="F19" s="1"/>
      <c r="G19" s="1">
        <f>SUMPRODUCT(--(G$3:G$14-$L$3:$L$14)^2)^0.5</f>
        <v>0</v>
      </c>
      <c r="H19" s="1">
        <f>SUMPRODUCT(--(H$3:H$14-$K$3:$K$14)^2)^0.5</f>
        <v>0</v>
      </c>
      <c r="I19" s="1"/>
      <c r="J19" s="1">
        <f>SUMPRODUCT(--(J$3:J$14-$L$3:$L$14)^2)^0.5</f>
        <v>0</v>
      </c>
      <c r="K19" s="1"/>
      <c r="L19" s="1"/>
      <c r="M19" s="1"/>
      <c r="N19" s="1"/>
      <c r="O19" s="1"/>
      <c r="P19" s="1"/>
    </row>
    <row r="20" spans="1:16">
      <c r="A20" s="1" t="s">
        <v>16</v>
      </c>
      <c r="B20" s="1">
        <f>SUMPRODUCT(NOT(ISBLANK(B$3:B$14))*(B$3:B$14=$K$3:$K$14))</f>
        <v>0</v>
      </c>
      <c r="C20" s="1"/>
      <c r="D20" s="1">
        <f>SUMPRODUCT(NOT(ISBLANK(D$3:D$14))*(D$3:D$14=$L$3:$L$14))</f>
        <v>0</v>
      </c>
      <c r="E20" s="1">
        <f>SUMPRODUCT(NOT(ISBLANK(E$3:E$14))*(E$3:E$14=$K$3:$K$14))</f>
        <v>0</v>
      </c>
      <c r="F20" s="1"/>
      <c r="G20" s="1">
        <f>SUMPRODUCT(NOT(ISBLANK(G$3:G$14))*(G$3:G$14=$L$3:$L$14))</f>
        <v>0</v>
      </c>
      <c r="H20" s="1">
        <f>SUMPRODUCT(NOT(ISBLANK(H$3:H$14))*(H$3:H$14=$K$3:$K$14))</f>
        <v>0</v>
      </c>
      <c r="I20" s="1"/>
      <c r="J20" s="1">
        <f>SUMPRODUCT(NOT(ISBLANK(J$3:J$14))*(J$3:J$14=$L$3:$L$14))</f>
        <v>0</v>
      </c>
      <c r="K20" s="1"/>
      <c r="L20" s="1"/>
      <c r="M20" s="1"/>
      <c r="N20" s="1"/>
      <c r="O20" s="1"/>
      <c r="P20" s="1"/>
    </row>
    <row r="21" spans="1:16">
      <c r="A21" s="1" t="s">
        <v>17</v>
      </c>
      <c r="B21" s="1">
        <f>SUMPRODUCT(NOT(ISBLANK(B$3:B$14))*(B$3:B$14&lt;$M$3:$M$14))</f>
        <v>0</v>
      </c>
      <c r="C21" s="1"/>
      <c r="D21" s="1">
        <f>SUMPRODUCT(NOT(ISBLANK(D$3:D$14))*(D$3:D$14&lt;$N$3:$N$14))</f>
        <v>0</v>
      </c>
      <c r="E21" s="1">
        <f>SUMPRODUCT(NOT(ISBLANK(E$3:E$14))*(E$3:E$14&lt;$M$3:$M$14))</f>
        <v>0</v>
      </c>
      <c r="F21" s="1"/>
      <c r="G21" s="1">
        <f>SUMPRODUCT(NOT(ISBLANK(G$3:G$14))*(G$3:G$14&lt;$N$3:$N$14))</f>
        <v>0</v>
      </c>
      <c r="H21" s="1">
        <f>SUMPRODUCT(NOT(ISBLANK(H$3:H$14))*(H$3:H$14&lt;$M$3:$M$14))</f>
        <v>0</v>
      </c>
      <c r="I21" s="1"/>
      <c r="J21" s="1">
        <f>SUMPRODUCT(NOT(ISBLANK(J$3:J$14))*(J$3:J$14&lt;$N$3:$N$14))</f>
        <v>0</v>
      </c>
      <c r="K21" s="1"/>
      <c r="L21" s="1"/>
      <c r="M21" s="1"/>
      <c r="N21" s="1"/>
      <c r="O21" s="1"/>
      <c r="P21" s="1"/>
    </row>
    <row r="22" spans="1:16">
      <c r="A22" s="1" t="s">
        <v>18</v>
      </c>
      <c r="B22" s="1">
        <f>SUMPRODUCT((NOT(ISBLANK(B$3:B$14))*(B$3:B$14&gt;$M$3:$M$14))+ISBLANK(B$3:B$14))</f>
        <v>0</v>
      </c>
      <c r="C22" s="1"/>
      <c r="D22" s="1">
        <f>SUMPRODUCT((NOT(ISBLANK(D$3:D$14))*(D$3:D$14&gt;$N$3:$N$14))+ISBLANK(D$3:D$14))</f>
        <v>0</v>
      </c>
      <c r="E22" s="1">
        <f>SUMPRODUCT((NOT(ISBLANK(E$3:E$14))*(E$3:E$14&gt;$M$3:$M$14))+ISBLANK(E$3:E$14))</f>
        <v>0</v>
      </c>
      <c r="F22" s="1"/>
      <c r="G22" s="1">
        <f>SUMPRODUCT((NOT(ISBLANK(G$3:G$14))*(G$3:G$14&gt;$N$3:$N$14))+ISBLANK(G$3:G$14))</f>
        <v>0</v>
      </c>
      <c r="H22" s="1">
        <f>SUMPRODUCT((NOT(ISBLANK(H$3:H$14))*(H$3:H$14&gt;$M$3:$M$14))+ISBLANK(H$3:H$14))</f>
        <v>0</v>
      </c>
      <c r="I22" s="1"/>
      <c r="J22" s="1">
        <f>SUMPRODUCT((NOT(ISBLANK(J$3:J$14))*(J$3:J$14&gt;$N$3:$N$14))+ISBLANK(J$3:J$14))</f>
        <v>0</v>
      </c>
      <c r="K22" s="1"/>
      <c r="L22" s="1"/>
      <c r="M22" s="1"/>
      <c r="N22" s="1"/>
      <c r="O22" s="1"/>
      <c r="P22" s="1"/>
    </row>
    <row r="23" spans="1:16">
      <c r="A23" s="1" t="s">
        <v>19</v>
      </c>
      <c r="B23" s="1">
        <f>SUMPRODUCT((NOT(ISBLANK(B$3:B$14))*(B$3:B$14=$O$3:$O$14))+ISBLANK(B$3:B$14))</f>
        <v>0</v>
      </c>
      <c r="C23" s="1"/>
      <c r="D23" s="1">
        <f>SUMPRODUCT((NOT(ISBLANK(D$3:D$14))*(D$3:D$14=$P$3:$P$14))+ISBLANK(D$3:D$14))</f>
        <v>0</v>
      </c>
      <c r="E23" s="1">
        <f>SUMPRODUCT((NOT(ISBLANK(E$3:E$14))*(E$3:E$14=$O$3:$O$14))+ISBLANK(E$3:E$14))</f>
        <v>0</v>
      </c>
      <c r="F23" s="1"/>
      <c r="G23" s="1">
        <f>SUMPRODUCT((NOT(ISBLANK(G$3:G$14))*(G$3:G$14=$P$3:$P$14))+ISBLANK(G$3:G$14))</f>
        <v>0</v>
      </c>
      <c r="H23" s="1">
        <f>SUMPRODUCT((NOT(ISBLANK(H$3:H$14))*(H$3:H$14=$O$3:$O$14))+ISBLANK(H$3:H$14))</f>
        <v>0</v>
      </c>
      <c r="I23" s="1"/>
      <c r="J23" s="1">
        <f>SUMPRODUCT((NOT(ISBLANK(J$3:J$14))*(J$3:J$14=$P$3:$P$14))+ISBLANK(J$3:J$14))</f>
        <v>0</v>
      </c>
      <c r="K23" s="1"/>
      <c r="L23" s="1"/>
      <c r="M23" s="1"/>
      <c r="N23" s="1"/>
      <c r="O23" s="1"/>
      <c r="P23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4" width="12.42578125" customWidth="1"/>
    <col min="5" max="7" width="12.7109375" customWidth="1"/>
    <col min="8" max="10" width="13.28515625" customWidth="1"/>
    <col min="11" max="16" width="11.42578125" customWidth="1"/>
  </cols>
  <sheetData>
    <row r="1" spans="1:16">
      <c r="A1" s="1"/>
      <c r="B1" s="1" t="s">
        <v>20</v>
      </c>
      <c r="C1" s="1"/>
      <c r="D1" s="1"/>
      <c r="E1" s="1" t="s">
        <v>26</v>
      </c>
      <c r="F1" s="1"/>
      <c r="G1" s="1"/>
      <c r="H1" s="1" t="s">
        <v>27</v>
      </c>
      <c r="I1" s="1"/>
      <c r="J1" s="1"/>
      <c r="K1" s="1" t="s">
        <v>28</v>
      </c>
      <c r="L1" s="1"/>
      <c r="M1" s="1" t="s">
        <v>29</v>
      </c>
      <c r="N1" s="1"/>
      <c r="O1" s="1" t="s">
        <v>30</v>
      </c>
      <c r="P1" s="1"/>
    </row>
    <row r="2" spans="1:16">
      <c r="A2" s="1"/>
      <c r="B2" s="1" t="s">
        <v>21</v>
      </c>
      <c r="C2" s="1" t="s">
        <v>22</v>
      </c>
      <c r="D2" s="1" t="s">
        <v>25</v>
      </c>
      <c r="E2" s="1" t="s">
        <v>21</v>
      </c>
      <c r="F2" s="1" t="s">
        <v>22</v>
      </c>
      <c r="G2" s="1" t="s">
        <v>25</v>
      </c>
      <c r="H2" s="1" t="s">
        <v>21</v>
      </c>
      <c r="I2" s="1" t="s">
        <v>22</v>
      </c>
      <c r="J2" s="1" t="s">
        <v>25</v>
      </c>
      <c r="K2" s="1" t="s">
        <v>21</v>
      </c>
      <c r="L2" s="1" t="s">
        <v>25</v>
      </c>
      <c r="M2" s="1" t="s">
        <v>21</v>
      </c>
      <c r="N2" s="1" t="s">
        <v>25</v>
      </c>
      <c r="O2" s="1" t="s">
        <v>21</v>
      </c>
      <c r="P2" s="1" t="s">
        <v>25</v>
      </c>
    </row>
    <row r="3" spans="1:16">
      <c r="A3" s="1" t="s">
        <v>32</v>
      </c>
      <c r="B3" s="1">
        <f>AVERAGE(Instances!B3:Instances!B14)</f>
        <v>0</v>
      </c>
      <c r="C3" s="1"/>
      <c r="D3" s="1">
        <f>AVERAGE(Instances!D3:Instances!D14)</f>
        <v>0</v>
      </c>
      <c r="E3" s="1">
        <f>AVERAGE(Instances!E3:Instances!E14)</f>
        <v>0</v>
      </c>
      <c r="F3" s="1"/>
      <c r="G3" s="1">
        <f>AVERAGE(Instances!G3:Instances!G14)</f>
        <v>0</v>
      </c>
      <c r="H3" s="1">
        <f>AVERAGE(Instances!H3:Instances!H14)</f>
        <v>0</v>
      </c>
      <c r="I3" s="1"/>
      <c r="J3" s="1">
        <f>AVERAGE(Instances!J3:Instances!J14)</f>
        <v>0</v>
      </c>
      <c r="K3" s="1">
        <f>MIN($B3,$E3,$H3)</f>
        <v>0</v>
      </c>
      <c r="L3" s="1">
        <f>MIN($D3,$G3,$J3)</f>
        <v>0</v>
      </c>
      <c r="M3" s="1">
        <f>MEDIAN($B3,$E3,$H3)</f>
        <v>0</v>
      </c>
      <c r="N3" s="1">
        <f>MEDIAN($D3,$G3,$J3)</f>
        <v>0</v>
      </c>
      <c r="O3" s="1">
        <f>MAX($B3,$E3,$H3)</f>
        <v>0</v>
      </c>
      <c r="P3" s="1">
        <f>MAX($D3,$G3,$J3)</f>
        <v>0</v>
      </c>
    </row>
    <row r="4" spans="1:1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12</v>
      </c>
      <c r="B5" s="1">
        <f>SUM(B$3:B$3)</f>
        <v>0</v>
      </c>
      <c r="C5" s="1"/>
      <c r="D5" s="1">
        <f>SUM(D$3:D$3)</f>
        <v>0</v>
      </c>
      <c r="E5" s="1">
        <f>SUM(E$3:E$3)</f>
        <v>0</v>
      </c>
      <c r="F5" s="1"/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</row>
    <row r="6" spans="1:16">
      <c r="A6" s="1" t="s">
        <v>13</v>
      </c>
      <c r="B6" s="1">
        <f>AVERAGE(B$3:B$3)</f>
        <v>0</v>
      </c>
      <c r="C6" s="1"/>
      <c r="D6" s="1">
        <f>AVERAGE(D$3:D$3)</f>
        <v>0</v>
      </c>
      <c r="E6" s="1">
        <f>AVERAGE(E$3:E$3)</f>
        <v>0</v>
      </c>
      <c r="F6" s="1"/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</row>
    <row r="7" spans="1:16">
      <c r="A7" s="1" t="s">
        <v>14</v>
      </c>
      <c r="B7" s="1">
        <f>STDEV(B$3:B$3)</f>
        <v>0</v>
      </c>
      <c r="C7" s="1"/>
      <c r="D7" s="1">
        <f>STDEV(D$3:D$3)</f>
        <v>0</v>
      </c>
      <c r="E7" s="1">
        <f>STDEV(E$3:E$3)</f>
        <v>0</v>
      </c>
      <c r="F7" s="1"/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</row>
    <row r="8" spans="1:16">
      <c r="A8" s="1" t="s">
        <v>15</v>
      </c>
      <c r="B8" s="1">
        <f>SUMPRODUCT(--(B$3:B$3-$K$3:$K$3)^2)^0.5</f>
        <v>0</v>
      </c>
      <c r="C8" s="1"/>
      <c r="D8" s="1">
        <f>SUMPRODUCT(--(D$3:D$3-$L$3:$L$3)^2)^0.5</f>
        <v>0</v>
      </c>
      <c r="E8" s="1">
        <f>SUMPRODUCT(--(E$3:E$3-$K$3:$K$3)^2)^0.5</f>
        <v>0</v>
      </c>
      <c r="F8" s="1"/>
      <c r="G8" s="1">
        <f>SUMPRODUCT(--(G$3:G$3-$L$3:$L$3)^2)^0.5</f>
        <v>0</v>
      </c>
      <c r="H8" s="1">
        <f>SUMPRODUCT(--(H$3:H$3-$K$3:$K$3)^2)^0.5</f>
        <v>0</v>
      </c>
      <c r="I8" s="1"/>
      <c r="J8" s="1">
        <f>SUMPRODUCT(--(J$3:J$3-$L$3:$L$3)^2)^0.5</f>
        <v>0</v>
      </c>
      <c r="K8" s="1"/>
      <c r="L8" s="1"/>
      <c r="M8" s="1"/>
      <c r="N8" s="1"/>
      <c r="O8" s="1"/>
      <c r="P8" s="1"/>
    </row>
    <row r="9" spans="1:16">
      <c r="A9" s="1" t="s">
        <v>16</v>
      </c>
      <c r="B9" s="1">
        <f>SUMPRODUCT(NOT(ISBLANK(B$3:B$3))*(B$3:B$3=$K$3:$K$3))</f>
        <v>0</v>
      </c>
      <c r="C9" s="1"/>
      <c r="D9" s="1">
        <f>SUMPRODUCT(NOT(ISBLANK(D$3:D$3))*(D$3:D$3=$L$3:$L$3))</f>
        <v>0</v>
      </c>
      <c r="E9" s="1">
        <f>SUMPRODUCT(NOT(ISBLANK(E$3:E$3))*(E$3:E$3=$K$3:$K$3))</f>
        <v>0</v>
      </c>
      <c r="F9" s="1"/>
      <c r="G9" s="1">
        <f>SUMPRODUCT(NOT(ISBLANK(G$3:G$3))*(G$3:G$3=$L$3:$L$3))</f>
        <v>0</v>
      </c>
      <c r="H9" s="1">
        <f>SUMPRODUCT(NOT(ISBLANK(H$3:H$3))*(H$3:H$3=$K$3:$K$3))</f>
        <v>0</v>
      </c>
      <c r="I9" s="1"/>
      <c r="J9" s="1">
        <f>SUMPRODUCT(NOT(ISBLANK(J$3:J$3))*(J$3:J$3=$L$3:$L$3))</f>
        <v>0</v>
      </c>
      <c r="K9" s="1"/>
      <c r="L9" s="1"/>
      <c r="M9" s="1"/>
      <c r="N9" s="1"/>
      <c r="O9" s="1"/>
      <c r="P9" s="1"/>
    </row>
    <row r="10" spans="1:16">
      <c r="A10" s="1" t="s">
        <v>17</v>
      </c>
      <c r="B10" s="1">
        <f>SUMPRODUCT(NOT(ISBLANK(B$3:B$3))*(B$3:B$3&lt;$M$3:$M$3))</f>
        <v>0</v>
      </c>
      <c r="C10" s="1"/>
      <c r="D10" s="1">
        <f>SUMPRODUCT(NOT(ISBLANK(D$3:D$3))*(D$3:D$3&lt;$N$3:$N$3))</f>
        <v>0</v>
      </c>
      <c r="E10" s="1">
        <f>SUMPRODUCT(NOT(ISBLANK(E$3:E$3))*(E$3:E$3&lt;$M$3:$M$3))</f>
        <v>0</v>
      </c>
      <c r="F10" s="1"/>
      <c r="G10" s="1">
        <f>SUMPRODUCT(NOT(ISBLANK(G$3:G$3))*(G$3:G$3&lt;$N$3:$N$3))</f>
        <v>0</v>
      </c>
      <c r="H10" s="1">
        <f>SUMPRODUCT(NOT(ISBLANK(H$3:H$3))*(H$3:H$3&lt;$M$3:$M$3))</f>
        <v>0</v>
      </c>
      <c r="I10" s="1"/>
      <c r="J10" s="1">
        <f>SUMPRODUCT(NOT(ISBLANK(J$3:J$3))*(J$3:J$3&lt;$N$3:$N$3))</f>
        <v>0</v>
      </c>
      <c r="K10" s="1"/>
      <c r="L10" s="1"/>
      <c r="M10" s="1"/>
      <c r="N10" s="1"/>
      <c r="O10" s="1"/>
      <c r="P10" s="1"/>
    </row>
    <row r="11" spans="1:16">
      <c r="A11" s="1" t="s">
        <v>18</v>
      </c>
      <c r="B11" s="1">
        <f>SUMPRODUCT((NOT(ISBLANK(B$3:B$3))*(B$3:B$3&gt;$M$3:$M$3))+ISBLANK(B$3:B$3))</f>
        <v>0</v>
      </c>
      <c r="C11" s="1"/>
      <c r="D11" s="1">
        <f>SUMPRODUCT((NOT(ISBLANK(D$3:D$3))*(D$3:D$3&gt;$N$3:$N$3))+ISBLANK(D$3:D$3))</f>
        <v>0</v>
      </c>
      <c r="E11" s="1">
        <f>SUMPRODUCT((NOT(ISBLANK(E$3:E$3))*(E$3:E$3&gt;$M$3:$M$3))+ISBLANK(E$3:E$3))</f>
        <v>0</v>
      </c>
      <c r="F11" s="1"/>
      <c r="G11" s="1">
        <f>SUMPRODUCT((NOT(ISBLANK(G$3:G$3))*(G$3:G$3&gt;$N$3:$N$3))+ISBLANK(G$3:G$3))</f>
        <v>0</v>
      </c>
      <c r="H11" s="1">
        <f>SUMPRODUCT((NOT(ISBLANK(H$3:H$3))*(H$3:H$3&gt;$M$3:$M$3))+ISBLANK(H$3:H$3))</f>
        <v>0</v>
      </c>
      <c r="I11" s="1"/>
      <c r="J11" s="1">
        <f>SUMPRODUCT((NOT(ISBLANK(J$3:J$3))*(J$3:J$3&gt;$N$3:$N$3))+ISBLANK(J$3:J$3))</f>
        <v>0</v>
      </c>
      <c r="K11" s="1"/>
      <c r="L11" s="1"/>
      <c r="M11" s="1"/>
      <c r="N11" s="1"/>
      <c r="O11" s="1"/>
      <c r="P11" s="1"/>
    </row>
    <row r="12" spans="1:16">
      <c r="A12" s="1" t="s">
        <v>19</v>
      </c>
      <c r="B12" s="1">
        <f>SUMPRODUCT((NOT(ISBLANK(B$3:B$3))*(B$3:B$3=$O$3:$O$3))+ISBLANK(B$3:B$3))</f>
        <v>0</v>
      </c>
      <c r="C12" s="1"/>
      <c r="D12" s="1">
        <f>SUMPRODUCT((NOT(ISBLANK(D$3:D$3))*(D$3:D$3=$P$3:$P$3))+ISBLANK(D$3:D$3))</f>
        <v>0</v>
      </c>
      <c r="E12" s="1">
        <f>SUMPRODUCT((NOT(ISBLANK(E$3:E$3))*(E$3:E$3=$O$3:$O$3))+ISBLANK(E$3:E$3))</f>
        <v>0</v>
      </c>
      <c r="F12" s="1"/>
      <c r="G12" s="1">
        <f>SUMPRODUCT((NOT(ISBLANK(G$3:G$3))*(G$3:G$3=$P$3:$P$3))+ISBLANK(G$3:G$3))</f>
        <v>0</v>
      </c>
      <c r="H12" s="1">
        <f>SUMPRODUCT((NOT(ISBLANK(H$3:H$3))*(H$3:H$3=$O$3:$O$3))+ISBLANK(H$3:H$3))</f>
        <v>0</v>
      </c>
      <c r="I12" s="1"/>
      <c r="J12" s="1">
        <f>SUMPRODUCT((NOT(ISBLANK(J$3:J$3))*(J$3:J$3=$P$3:$P$3))+ISBLANK(J$3:J$3))</f>
        <v>0</v>
      </c>
      <c r="K12" s="1"/>
      <c r="L12" s="1"/>
      <c r="M12" s="1"/>
      <c r="N12" s="1"/>
      <c r="O12" s="1"/>
      <c r="P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2026-02-11T14:26:40Z</dcterms:created>
  <dcterms:modified xsi:type="dcterms:W3CDTF">2026-02-11T14:26:40Z</dcterms:modified>
</cp:coreProperties>
</file>